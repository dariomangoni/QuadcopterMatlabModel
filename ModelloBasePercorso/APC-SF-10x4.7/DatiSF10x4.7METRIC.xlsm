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Questa_cartella_di_lavoro" defaultThemeVersion="124226"/>
  <bookViews>
    <workbookView xWindow="12105" yWindow="-15" windowWidth="11910" windowHeight="10155" activeTab="1"/>
  </bookViews>
  <sheets>
    <sheet name="General" sheetId="8" r:id="rId1"/>
    <sheet name="Static" sheetId="18" r:id="rId2"/>
    <sheet name="4014" sheetId="1" r:id="rId3"/>
    <sheet name="4997" sheetId="3" r:id="rId4"/>
    <sheet name="5018" sheetId="2" r:id="rId5"/>
    <sheet name="6020" sheetId="5" r:id="rId6"/>
    <sheet name="6023" sheetId="4" r:id="rId7"/>
    <sheet name="6512" sheetId="6" r:id="rId8"/>
    <sheet name="6513" sheetId="7" r:id="rId9"/>
    <sheet name="Interp" sheetId="16" r:id="rId10"/>
    <sheet name="Interp (2)" sheetId="17" r:id="rId11"/>
  </sheets>
  <definedNames>
    <definedName name="apcsf_10x4.7_kt0836_4014" localSheetId="2">'4014'!$A$1:$D$18</definedName>
    <definedName name="apcsf_10x4.7_kt0837_5018" localSheetId="4">'5018'!$A$1:$D$18</definedName>
    <definedName name="apcsf_10x4.7_rd0838_4997" localSheetId="3">'4997'!$A$1:$D$12</definedName>
    <definedName name="apcsf_10x4.7_rd0839_6023" localSheetId="6">'6023'!$A$1:$D$18</definedName>
    <definedName name="apcsf_10x4.7_rd0840_6020" localSheetId="5">'6020'!$A$1:$D$17</definedName>
    <definedName name="apcsf_10x4.7_rd0841_6512" localSheetId="7">'6512'!$A$1:$D$18</definedName>
    <definedName name="apcsf_10x4.7_rd0842_6513" localSheetId="8">'6513'!$A$1:$D$19</definedName>
    <definedName name="apcsf_10x4.7_static_kt0835" localSheetId="1">Static!$A$1:$C$17</definedName>
  </definedNames>
  <calcPr calcId="145621"/>
</workbook>
</file>

<file path=xl/calcChain.xml><?xml version="1.0" encoding="utf-8"?>
<calcChain xmlns="http://schemas.openxmlformats.org/spreadsheetml/2006/main">
  <c r="N19" i="18" l="1"/>
  <c r="N2" i="18"/>
  <c r="N3" i="18"/>
  <c r="N4" i="18"/>
  <c r="N5" i="18"/>
  <c r="N6" i="18"/>
  <c r="N7" i="18"/>
  <c r="N8" i="18"/>
  <c r="N9" i="18"/>
  <c r="N10" i="18"/>
  <c r="N11" i="18"/>
  <c r="N12" i="18"/>
  <c r="N13" i="18"/>
  <c r="N14" i="18"/>
  <c r="N15" i="18"/>
  <c r="N16" i="18"/>
  <c r="N17" i="18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2" i="18"/>
  <c r="A116" i="16" l="1"/>
  <c r="B116" i="16"/>
  <c r="C116" i="16"/>
  <c r="D116" i="16"/>
  <c r="A117" i="16"/>
  <c r="B117" i="16"/>
  <c r="C117" i="16"/>
  <c r="D117" i="16"/>
  <c r="A118" i="16"/>
  <c r="B118" i="16"/>
  <c r="C118" i="16"/>
  <c r="D118" i="16"/>
  <c r="A119" i="16"/>
  <c r="B119" i="16"/>
  <c r="C119" i="16"/>
  <c r="D119" i="16"/>
  <c r="A120" i="16"/>
  <c r="B120" i="16"/>
  <c r="C120" i="16"/>
  <c r="D120" i="16"/>
  <c r="A121" i="16"/>
  <c r="B121" i="16"/>
  <c r="C121" i="16"/>
  <c r="D121" i="16"/>
  <c r="A122" i="16"/>
  <c r="B122" i="16"/>
  <c r="C122" i="16"/>
  <c r="D122" i="16"/>
  <c r="A123" i="16"/>
  <c r="B123" i="16"/>
  <c r="C123" i="16"/>
  <c r="D123" i="16"/>
  <c r="A124" i="16"/>
  <c r="B124" i="16"/>
  <c r="C124" i="16"/>
  <c r="D124" i="16"/>
  <c r="A125" i="16"/>
  <c r="B125" i="16"/>
  <c r="C125" i="16"/>
  <c r="D125" i="16"/>
  <c r="A126" i="16"/>
  <c r="B126" i="16"/>
  <c r="C126" i="16"/>
  <c r="D126" i="16"/>
  <c r="A127" i="16"/>
  <c r="B127" i="16"/>
  <c r="C127" i="16"/>
  <c r="D127" i="16"/>
  <c r="A128" i="16"/>
  <c r="B128" i="16"/>
  <c r="C128" i="16"/>
  <c r="D128" i="16"/>
  <c r="A129" i="16"/>
  <c r="B129" i="16"/>
  <c r="C129" i="16"/>
  <c r="D129" i="16"/>
  <c r="A130" i="16"/>
  <c r="B130" i="16"/>
  <c r="C130" i="16"/>
  <c r="D130" i="16"/>
  <c r="D115" i="16"/>
  <c r="C115" i="16"/>
  <c r="B115" i="16"/>
  <c r="A115" i="16"/>
  <c r="I3" i="18"/>
  <c r="J3" i="18"/>
  <c r="I4" i="18"/>
  <c r="J4" i="18"/>
  <c r="I5" i="18"/>
  <c r="J5" i="18"/>
  <c r="I6" i="18"/>
  <c r="J6" i="18"/>
  <c r="I7" i="18"/>
  <c r="J7" i="18"/>
  <c r="I8" i="18"/>
  <c r="J8" i="18"/>
  <c r="I9" i="18"/>
  <c r="J9" i="18"/>
  <c r="I10" i="18"/>
  <c r="J10" i="18"/>
  <c r="I11" i="18"/>
  <c r="J11" i="18"/>
  <c r="I12" i="18"/>
  <c r="J12" i="18"/>
  <c r="I13" i="18"/>
  <c r="J13" i="18"/>
  <c r="I14" i="18"/>
  <c r="J14" i="18"/>
  <c r="I15" i="18"/>
  <c r="J15" i="18"/>
  <c r="I16" i="18"/>
  <c r="J16" i="18"/>
  <c r="I17" i="18"/>
  <c r="J17" i="18"/>
  <c r="J2" i="18"/>
  <c r="I2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2" i="18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3" i="1"/>
  <c r="K2" i="1"/>
  <c r="J2" i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2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2" i="18"/>
  <c r="D114" i="17"/>
  <c r="C114" i="17"/>
  <c r="B114" i="17"/>
  <c r="A114" i="17"/>
  <c r="D113" i="17"/>
  <c r="C113" i="17"/>
  <c r="B113" i="17"/>
  <c r="A113" i="17"/>
  <c r="D112" i="17"/>
  <c r="C112" i="17"/>
  <c r="B112" i="17"/>
  <c r="A112" i="17"/>
  <c r="D111" i="17"/>
  <c r="C111" i="17"/>
  <c r="B111" i="17"/>
  <c r="A111" i="17"/>
  <c r="D110" i="17"/>
  <c r="C110" i="17"/>
  <c r="B110" i="17"/>
  <c r="A110" i="17"/>
  <c r="D109" i="17"/>
  <c r="C109" i="17"/>
  <c r="B109" i="17"/>
  <c r="A109" i="17"/>
  <c r="D108" i="17"/>
  <c r="C108" i="17"/>
  <c r="B108" i="17"/>
  <c r="A108" i="17"/>
  <c r="D107" i="17"/>
  <c r="C107" i="17"/>
  <c r="B107" i="17"/>
  <c r="A107" i="17"/>
  <c r="D106" i="17"/>
  <c r="C106" i="17"/>
  <c r="B106" i="17"/>
  <c r="A106" i="17"/>
  <c r="D105" i="17"/>
  <c r="C105" i="17"/>
  <c r="B105" i="17"/>
  <c r="A105" i="17"/>
  <c r="D104" i="17"/>
  <c r="C104" i="17"/>
  <c r="B104" i="17"/>
  <c r="A104" i="17"/>
  <c r="D103" i="17"/>
  <c r="C103" i="17"/>
  <c r="B103" i="17"/>
  <c r="A103" i="17"/>
  <c r="D102" i="17"/>
  <c r="C102" i="17"/>
  <c r="B102" i="17"/>
  <c r="A102" i="17"/>
  <c r="D101" i="17"/>
  <c r="C101" i="17"/>
  <c r="B101" i="17"/>
  <c r="A101" i="17"/>
  <c r="D100" i="17"/>
  <c r="C100" i="17"/>
  <c r="B100" i="17"/>
  <c r="A100" i="17"/>
  <c r="D99" i="17"/>
  <c r="C99" i="17"/>
  <c r="B99" i="17"/>
  <c r="A99" i="17"/>
  <c r="D98" i="17"/>
  <c r="C98" i="17"/>
  <c r="B98" i="17"/>
  <c r="A98" i="17"/>
  <c r="D97" i="17"/>
  <c r="C97" i="17"/>
  <c r="B97" i="17"/>
  <c r="A97" i="17"/>
  <c r="D96" i="17"/>
  <c r="C96" i="17"/>
  <c r="B96" i="17"/>
  <c r="A96" i="17"/>
  <c r="D95" i="17"/>
  <c r="C95" i="17"/>
  <c r="B95" i="17"/>
  <c r="A95" i="17"/>
  <c r="D94" i="17"/>
  <c r="C94" i="17"/>
  <c r="B94" i="17"/>
  <c r="A94" i="17"/>
  <c r="D93" i="17"/>
  <c r="C93" i="17"/>
  <c r="B93" i="17"/>
  <c r="A93" i="17"/>
  <c r="D92" i="17"/>
  <c r="C92" i="17"/>
  <c r="B92" i="17"/>
  <c r="A92" i="17"/>
  <c r="D91" i="17"/>
  <c r="C91" i="17"/>
  <c r="B91" i="17"/>
  <c r="A91" i="17"/>
  <c r="D90" i="17"/>
  <c r="C90" i="17"/>
  <c r="B90" i="17"/>
  <c r="A90" i="17"/>
  <c r="D89" i="17"/>
  <c r="C89" i="17"/>
  <c r="B89" i="17"/>
  <c r="A89" i="17"/>
  <c r="D88" i="17"/>
  <c r="C88" i="17"/>
  <c r="B88" i="17"/>
  <c r="A88" i="17"/>
  <c r="D87" i="17"/>
  <c r="C87" i="17"/>
  <c r="B87" i="17"/>
  <c r="A87" i="17"/>
  <c r="D86" i="17"/>
  <c r="C86" i="17"/>
  <c r="B86" i="17"/>
  <c r="A86" i="17"/>
  <c r="D85" i="17"/>
  <c r="C85" i="17"/>
  <c r="B85" i="17"/>
  <c r="A85" i="17"/>
  <c r="D84" i="17"/>
  <c r="C84" i="17"/>
  <c r="B84" i="17"/>
  <c r="A84" i="17"/>
  <c r="D83" i="17"/>
  <c r="C83" i="17"/>
  <c r="B83" i="17"/>
  <c r="A83" i="17"/>
  <c r="D82" i="17"/>
  <c r="C82" i="17"/>
  <c r="B82" i="17"/>
  <c r="A82" i="17"/>
  <c r="D81" i="17"/>
  <c r="C81" i="17"/>
  <c r="B81" i="17"/>
  <c r="A81" i="17"/>
  <c r="D80" i="17"/>
  <c r="C80" i="17"/>
  <c r="B80" i="17"/>
  <c r="A80" i="17"/>
  <c r="D79" i="17"/>
  <c r="C79" i="17"/>
  <c r="B79" i="17"/>
  <c r="A79" i="17"/>
  <c r="D78" i="17"/>
  <c r="C78" i="17"/>
  <c r="B78" i="17"/>
  <c r="A78" i="17"/>
  <c r="D77" i="17"/>
  <c r="C77" i="17"/>
  <c r="B77" i="17"/>
  <c r="A77" i="17"/>
  <c r="D76" i="17"/>
  <c r="C76" i="17"/>
  <c r="B76" i="17"/>
  <c r="A76" i="17"/>
  <c r="D75" i="17"/>
  <c r="C75" i="17"/>
  <c r="B75" i="17"/>
  <c r="A75" i="17"/>
  <c r="D74" i="17"/>
  <c r="C74" i="17"/>
  <c r="B74" i="17"/>
  <c r="A74" i="17"/>
  <c r="D73" i="17"/>
  <c r="C73" i="17"/>
  <c r="B73" i="17"/>
  <c r="A73" i="17"/>
  <c r="D72" i="17"/>
  <c r="C72" i="17"/>
  <c r="B72" i="17"/>
  <c r="A72" i="17"/>
  <c r="D71" i="17"/>
  <c r="C71" i="17"/>
  <c r="B71" i="17"/>
  <c r="A71" i="17"/>
  <c r="D70" i="17"/>
  <c r="C70" i="17"/>
  <c r="B70" i="17"/>
  <c r="A70" i="17"/>
  <c r="D69" i="17"/>
  <c r="C69" i="17"/>
  <c r="B69" i="17"/>
  <c r="A69" i="17"/>
  <c r="D68" i="17"/>
  <c r="C68" i="17"/>
  <c r="B68" i="17"/>
  <c r="A68" i="17"/>
  <c r="D67" i="17"/>
  <c r="C67" i="17"/>
  <c r="B67" i="17"/>
  <c r="A67" i="17"/>
  <c r="D66" i="17"/>
  <c r="C66" i="17"/>
  <c r="B66" i="17"/>
  <c r="A66" i="17"/>
  <c r="D65" i="17"/>
  <c r="C65" i="17"/>
  <c r="B65" i="17"/>
  <c r="A65" i="17"/>
  <c r="D64" i="17"/>
  <c r="C64" i="17"/>
  <c r="B64" i="17"/>
  <c r="A64" i="17"/>
  <c r="D63" i="17"/>
  <c r="C63" i="17"/>
  <c r="B63" i="17"/>
  <c r="A63" i="17"/>
  <c r="D62" i="17"/>
  <c r="C62" i="17"/>
  <c r="B62" i="17"/>
  <c r="A62" i="17"/>
  <c r="D61" i="17"/>
  <c r="C61" i="17"/>
  <c r="B61" i="17"/>
  <c r="A61" i="17"/>
  <c r="D60" i="17"/>
  <c r="C60" i="17"/>
  <c r="B60" i="17"/>
  <c r="A60" i="17"/>
  <c r="D59" i="17"/>
  <c r="C59" i="17"/>
  <c r="B59" i="17"/>
  <c r="A59" i="17"/>
  <c r="D58" i="17"/>
  <c r="C58" i="17"/>
  <c r="B58" i="17"/>
  <c r="A58" i="17"/>
  <c r="D57" i="17"/>
  <c r="C57" i="17"/>
  <c r="B57" i="17"/>
  <c r="A57" i="17"/>
  <c r="D56" i="17"/>
  <c r="C56" i="17"/>
  <c r="B56" i="17"/>
  <c r="A56" i="17"/>
  <c r="D55" i="17"/>
  <c r="C55" i="17"/>
  <c r="B55" i="17"/>
  <c r="A55" i="17"/>
  <c r="D54" i="17"/>
  <c r="C54" i="17"/>
  <c r="B54" i="17"/>
  <c r="A54" i="17"/>
  <c r="D53" i="17"/>
  <c r="C53" i="17"/>
  <c r="B53" i="17"/>
  <c r="A53" i="17"/>
  <c r="D52" i="17"/>
  <c r="C52" i="17"/>
  <c r="B52" i="17"/>
  <c r="A52" i="17"/>
  <c r="D51" i="17"/>
  <c r="C51" i="17"/>
  <c r="B51" i="17"/>
  <c r="A51" i="17"/>
  <c r="D50" i="17"/>
  <c r="C50" i="17"/>
  <c r="B50" i="17"/>
  <c r="A50" i="17"/>
  <c r="D49" i="17"/>
  <c r="C49" i="17"/>
  <c r="B49" i="17"/>
  <c r="A49" i="17"/>
  <c r="D48" i="17"/>
  <c r="C48" i="17"/>
  <c r="B48" i="17"/>
  <c r="A48" i="17"/>
  <c r="D47" i="17"/>
  <c r="C47" i="17"/>
  <c r="B47" i="17"/>
  <c r="A47" i="17"/>
  <c r="D46" i="17"/>
  <c r="C46" i="17"/>
  <c r="B46" i="17"/>
  <c r="A46" i="17"/>
  <c r="D45" i="17"/>
  <c r="C45" i="17"/>
  <c r="B45" i="17"/>
  <c r="A45" i="17"/>
  <c r="D44" i="17"/>
  <c r="C44" i="17"/>
  <c r="B44" i="17"/>
  <c r="A44" i="17"/>
  <c r="D43" i="17"/>
  <c r="C43" i="17"/>
  <c r="B43" i="17"/>
  <c r="A43" i="17"/>
  <c r="D42" i="17"/>
  <c r="C42" i="17"/>
  <c r="B42" i="17"/>
  <c r="A42" i="17"/>
  <c r="D41" i="17"/>
  <c r="C41" i="17"/>
  <c r="B41" i="17"/>
  <c r="A41" i="17"/>
  <c r="D40" i="17"/>
  <c r="C40" i="17"/>
  <c r="B40" i="17"/>
  <c r="A40" i="17"/>
  <c r="D39" i="17"/>
  <c r="C39" i="17"/>
  <c r="B39" i="17"/>
  <c r="A39" i="17"/>
  <c r="D38" i="17"/>
  <c r="C38" i="17"/>
  <c r="B38" i="17"/>
  <c r="A38" i="17"/>
  <c r="D37" i="17"/>
  <c r="C37" i="17"/>
  <c r="B37" i="17"/>
  <c r="A37" i="17"/>
  <c r="D36" i="17"/>
  <c r="C36" i="17"/>
  <c r="B36" i="17"/>
  <c r="A36" i="17"/>
  <c r="D35" i="17"/>
  <c r="C35" i="17"/>
  <c r="B35" i="17"/>
  <c r="A35" i="17"/>
  <c r="D34" i="17"/>
  <c r="C34" i="17"/>
  <c r="B34" i="17"/>
  <c r="A34" i="17"/>
  <c r="D33" i="17"/>
  <c r="C33" i="17"/>
  <c r="B33" i="17"/>
  <c r="A33" i="17"/>
  <c r="D32" i="17"/>
  <c r="C32" i="17"/>
  <c r="B32" i="17"/>
  <c r="A32" i="17"/>
  <c r="D31" i="17"/>
  <c r="C31" i="17"/>
  <c r="B31" i="17"/>
  <c r="A31" i="17"/>
  <c r="D30" i="17"/>
  <c r="C30" i="17"/>
  <c r="B30" i="17"/>
  <c r="A30" i="17"/>
  <c r="D29" i="17"/>
  <c r="C29" i="17"/>
  <c r="B29" i="17"/>
  <c r="A29" i="17"/>
  <c r="D28" i="17"/>
  <c r="C28" i="17"/>
  <c r="B28" i="17"/>
  <c r="A28" i="17"/>
  <c r="D27" i="17"/>
  <c r="C27" i="17"/>
  <c r="B27" i="17"/>
  <c r="A27" i="17"/>
  <c r="D26" i="17"/>
  <c r="C26" i="17"/>
  <c r="B26" i="17"/>
  <c r="A26" i="17"/>
  <c r="D25" i="17"/>
  <c r="C25" i="17"/>
  <c r="B25" i="17"/>
  <c r="A25" i="17"/>
  <c r="D24" i="17"/>
  <c r="C24" i="17"/>
  <c r="B24" i="17"/>
  <c r="A24" i="17"/>
  <c r="D23" i="17"/>
  <c r="C23" i="17"/>
  <c r="B23" i="17"/>
  <c r="A23" i="17"/>
  <c r="D22" i="17"/>
  <c r="C22" i="17"/>
  <c r="B22" i="17"/>
  <c r="A22" i="17"/>
  <c r="D21" i="17"/>
  <c r="C21" i="17"/>
  <c r="B21" i="17"/>
  <c r="A21" i="17"/>
  <c r="D20" i="17"/>
  <c r="C20" i="17"/>
  <c r="B20" i="17"/>
  <c r="A20" i="17"/>
  <c r="D19" i="17"/>
  <c r="C19" i="17"/>
  <c r="B19" i="17"/>
  <c r="A19" i="17"/>
  <c r="D18" i="17"/>
  <c r="B18" i="17"/>
  <c r="A18" i="17"/>
  <c r="D17" i="17"/>
  <c r="B17" i="17"/>
  <c r="A17" i="17"/>
  <c r="D16" i="17"/>
  <c r="B16" i="17"/>
  <c r="A16" i="17"/>
  <c r="D15" i="17"/>
  <c r="B15" i="17"/>
  <c r="A15" i="17"/>
  <c r="D14" i="17"/>
  <c r="B14" i="17"/>
  <c r="A14" i="17"/>
  <c r="D13" i="17"/>
  <c r="B13" i="17"/>
  <c r="A13" i="17"/>
  <c r="D12" i="17"/>
  <c r="B12" i="17"/>
  <c r="A12" i="17"/>
  <c r="D11" i="17"/>
  <c r="B11" i="17"/>
  <c r="A11" i="17"/>
  <c r="D10" i="17"/>
  <c r="B10" i="17"/>
  <c r="A10" i="17"/>
  <c r="D9" i="17"/>
  <c r="B9" i="17"/>
  <c r="A9" i="17"/>
  <c r="D8" i="17"/>
  <c r="B8" i="17"/>
  <c r="A8" i="17"/>
  <c r="D7" i="17"/>
  <c r="B7" i="17"/>
  <c r="A7" i="17"/>
  <c r="D6" i="17"/>
  <c r="B6" i="17"/>
  <c r="A6" i="17"/>
  <c r="D5" i="17"/>
  <c r="B5" i="17"/>
  <c r="A5" i="17"/>
  <c r="D4" i="17"/>
  <c r="B4" i="17"/>
  <c r="A4" i="17"/>
  <c r="D3" i="17"/>
  <c r="B3" i="17"/>
  <c r="I4" i="17" s="1"/>
  <c r="A3" i="17"/>
  <c r="D2" i="17"/>
  <c r="B2" i="17"/>
  <c r="A2" i="17"/>
  <c r="I6" i="17" s="1"/>
  <c r="I3" i="17" l="1"/>
  <c r="I5" i="17"/>
  <c r="A98" i="16"/>
  <c r="B98" i="16"/>
  <c r="C98" i="16"/>
  <c r="D98" i="16"/>
  <c r="A99" i="16"/>
  <c r="B99" i="16"/>
  <c r="C99" i="16"/>
  <c r="D99" i="16"/>
  <c r="A100" i="16"/>
  <c r="B100" i="16"/>
  <c r="C100" i="16"/>
  <c r="D100" i="16"/>
  <c r="A101" i="16"/>
  <c r="B101" i="16"/>
  <c r="C101" i="16"/>
  <c r="D101" i="16"/>
  <c r="A102" i="16"/>
  <c r="B102" i="16"/>
  <c r="C102" i="16"/>
  <c r="D102" i="16"/>
  <c r="A103" i="16"/>
  <c r="B103" i="16"/>
  <c r="C103" i="16"/>
  <c r="D103" i="16"/>
  <c r="A104" i="16"/>
  <c r="B104" i="16"/>
  <c r="C104" i="16"/>
  <c r="D104" i="16"/>
  <c r="A105" i="16"/>
  <c r="B105" i="16"/>
  <c r="C105" i="16"/>
  <c r="D105" i="16"/>
  <c r="A106" i="16"/>
  <c r="B106" i="16"/>
  <c r="C106" i="16"/>
  <c r="D106" i="16"/>
  <c r="A107" i="16"/>
  <c r="B107" i="16"/>
  <c r="C107" i="16"/>
  <c r="D107" i="16"/>
  <c r="A108" i="16"/>
  <c r="B108" i="16"/>
  <c r="C108" i="16"/>
  <c r="D108" i="16"/>
  <c r="A109" i="16"/>
  <c r="B109" i="16"/>
  <c r="C109" i="16"/>
  <c r="D109" i="16"/>
  <c r="A110" i="16"/>
  <c r="B110" i="16"/>
  <c r="C110" i="16"/>
  <c r="D110" i="16"/>
  <c r="A111" i="16"/>
  <c r="B111" i="16"/>
  <c r="C111" i="16"/>
  <c r="D111" i="16"/>
  <c r="A112" i="16"/>
  <c r="B112" i="16"/>
  <c r="C112" i="16"/>
  <c r="D112" i="16"/>
  <c r="A113" i="16"/>
  <c r="B113" i="16"/>
  <c r="C113" i="16"/>
  <c r="D113" i="16"/>
  <c r="A114" i="16"/>
  <c r="B114" i="16"/>
  <c r="C114" i="16"/>
  <c r="D114" i="16"/>
  <c r="D97" i="16"/>
  <c r="C97" i="16"/>
  <c r="B97" i="16"/>
  <c r="A97" i="16"/>
  <c r="A81" i="16"/>
  <c r="B81" i="16"/>
  <c r="C81" i="16"/>
  <c r="D81" i="16"/>
  <c r="A82" i="16"/>
  <c r="B82" i="16"/>
  <c r="C82" i="16"/>
  <c r="D82" i="16"/>
  <c r="A83" i="16"/>
  <c r="B83" i="16"/>
  <c r="C83" i="16"/>
  <c r="D83" i="16"/>
  <c r="A84" i="16"/>
  <c r="B84" i="16"/>
  <c r="C84" i="16"/>
  <c r="D84" i="16"/>
  <c r="A85" i="16"/>
  <c r="B85" i="16"/>
  <c r="C85" i="16"/>
  <c r="D85" i="16"/>
  <c r="A86" i="16"/>
  <c r="B86" i="16"/>
  <c r="C86" i="16"/>
  <c r="D86" i="16"/>
  <c r="A87" i="16"/>
  <c r="B87" i="16"/>
  <c r="C87" i="16"/>
  <c r="D87" i="16"/>
  <c r="A88" i="16"/>
  <c r="B88" i="16"/>
  <c r="C88" i="16"/>
  <c r="D88" i="16"/>
  <c r="A89" i="16"/>
  <c r="B89" i="16"/>
  <c r="C89" i="16"/>
  <c r="D89" i="16"/>
  <c r="A90" i="16"/>
  <c r="B90" i="16"/>
  <c r="C90" i="16"/>
  <c r="D90" i="16"/>
  <c r="A91" i="16"/>
  <c r="B91" i="16"/>
  <c r="C91" i="16"/>
  <c r="D91" i="16"/>
  <c r="A92" i="16"/>
  <c r="B92" i="16"/>
  <c r="C92" i="16"/>
  <c r="D92" i="16"/>
  <c r="A93" i="16"/>
  <c r="B93" i="16"/>
  <c r="C93" i="16"/>
  <c r="D93" i="16"/>
  <c r="A94" i="16"/>
  <c r="B94" i="16"/>
  <c r="C94" i="16"/>
  <c r="D94" i="16"/>
  <c r="A95" i="16"/>
  <c r="B95" i="16"/>
  <c r="C95" i="16"/>
  <c r="D95" i="16"/>
  <c r="A96" i="16"/>
  <c r="B96" i="16"/>
  <c r="C96" i="16"/>
  <c r="D96" i="16"/>
  <c r="D80" i="16"/>
  <c r="C80" i="16"/>
  <c r="B80" i="16"/>
  <c r="A80" i="16"/>
  <c r="A64" i="16"/>
  <c r="B64" i="16"/>
  <c r="C64" i="16"/>
  <c r="D64" i="16"/>
  <c r="A65" i="16"/>
  <c r="B65" i="16"/>
  <c r="C65" i="16"/>
  <c r="D65" i="16"/>
  <c r="A66" i="16"/>
  <c r="B66" i="16"/>
  <c r="C66" i="16"/>
  <c r="D66" i="16"/>
  <c r="A67" i="16"/>
  <c r="B67" i="16"/>
  <c r="C67" i="16"/>
  <c r="D67" i="16"/>
  <c r="A68" i="16"/>
  <c r="B68" i="16"/>
  <c r="C68" i="16"/>
  <c r="D68" i="16"/>
  <c r="A69" i="16"/>
  <c r="B69" i="16"/>
  <c r="C69" i="16"/>
  <c r="D69" i="16"/>
  <c r="A70" i="16"/>
  <c r="B70" i="16"/>
  <c r="C70" i="16"/>
  <c r="D70" i="16"/>
  <c r="A71" i="16"/>
  <c r="B71" i="16"/>
  <c r="C71" i="16"/>
  <c r="D71" i="16"/>
  <c r="A72" i="16"/>
  <c r="B72" i="16"/>
  <c r="C72" i="16"/>
  <c r="D72" i="16"/>
  <c r="A73" i="16"/>
  <c r="B73" i="16"/>
  <c r="C73" i="16"/>
  <c r="D73" i="16"/>
  <c r="A74" i="16"/>
  <c r="B74" i="16"/>
  <c r="C74" i="16"/>
  <c r="D74" i="16"/>
  <c r="A75" i="16"/>
  <c r="B75" i="16"/>
  <c r="C75" i="16"/>
  <c r="D75" i="16"/>
  <c r="A76" i="16"/>
  <c r="B76" i="16"/>
  <c r="C76" i="16"/>
  <c r="D76" i="16"/>
  <c r="A77" i="16"/>
  <c r="B77" i="16"/>
  <c r="C77" i="16"/>
  <c r="D77" i="16"/>
  <c r="A78" i="16"/>
  <c r="B78" i="16"/>
  <c r="C78" i="16"/>
  <c r="D78" i="16"/>
  <c r="A79" i="16"/>
  <c r="B79" i="16"/>
  <c r="C79" i="16"/>
  <c r="D79" i="16"/>
  <c r="D63" i="16"/>
  <c r="C63" i="16"/>
  <c r="B63" i="16"/>
  <c r="A63" i="16"/>
  <c r="A48" i="16"/>
  <c r="B48" i="16"/>
  <c r="C48" i="16"/>
  <c r="D48" i="16"/>
  <c r="A49" i="16"/>
  <c r="B49" i="16"/>
  <c r="C49" i="16"/>
  <c r="D49" i="16"/>
  <c r="A50" i="16"/>
  <c r="B50" i="16"/>
  <c r="C50" i="16"/>
  <c r="D50" i="16"/>
  <c r="A51" i="16"/>
  <c r="B51" i="16"/>
  <c r="C51" i="16"/>
  <c r="D51" i="16"/>
  <c r="A52" i="16"/>
  <c r="B52" i="16"/>
  <c r="C52" i="16"/>
  <c r="D52" i="16"/>
  <c r="A53" i="16"/>
  <c r="B53" i="16"/>
  <c r="C53" i="16"/>
  <c r="D53" i="16"/>
  <c r="A54" i="16"/>
  <c r="B54" i="16"/>
  <c r="C54" i="16"/>
  <c r="D54" i="16"/>
  <c r="A55" i="16"/>
  <c r="B55" i="16"/>
  <c r="C55" i="16"/>
  <c r="D55" i="16"/>
  <c r="A56" i="16"/>
  <c r="B56" i="16"/>
  <c r="C56" i="16"/>
  <c r="D56" i="16"/>
  <c r="A57" i="16"/>
  <c r="B57" i="16"/>
  <c r="C57" i="16"/>
  <c r="D57" i="16"/>
  <c r="A58" i="16"/>
  <c r="B58" i="16"/>
  <c r="C58" i="16"/>
  <c r="D58" i="16"/>
  <c r="A59" i="16"/>
  <c r="B59" i="16"/>
  <c r="C59" i="16"/>
  <c r="D59" i="16"/>
  <c r="A60" i="16"/>
  <c r="B60" i="16"/>
  <c r="C60" i="16"/>
  <c r="D60" i="16"/>
  <c r="A61" i="16"/>
  <c r="B61" i="16"/>
  <c r="C61" i="16"/>
  <c r="D61" i="16"/>
  <c r="A62" i="16"/>
  <c r="B62" i="16"/>
  <c r="C62" i="16"/>
  <c r="D62" i="16"/>
  <c r="D47" i="16"/>
  <c r="C47" i="16"/>
  <c r="B47" i="16"/>
  <c r="A47" i="16"/>
  <c r="A31" i="16"/>
  <c r="B31" i="16"/>
  <c r="C31" i="16"/>
  <c r="D31" i="16"/>
  <c r="A32" i="16"/>
  <c r="B32" i="16"/>
  <c r="C32" i="16"/>
  <c r="D32" i="16"/>
  <c r="A33" i="16"/>
  <c r="B33" i="16"/>
  <c r="C33" i="16"/>
  <c r="D33" i="16"/>
  <c r="A34" i="16"/>
  <c r="B34" i="16"/>
  <c r="C34" i="16"/>
  <c r="D34" i="16"/>
  <c r="A35" i="16"/>
  <c r="B35" i="16"/>
  <c r="C35" i="16"/>
  <c r="D35" i="16"/>
  <c r="A36" i="16"/>
  <c r="B36" i="16"/>
  <c r="C36" i="16"/>
  <c r="D36" i="16"/>
  <c r="A37" i="16"/>
  <c r="B37" i="16"/>
  <c r="C37" i="16"/>
  <c r="D37" i="16"/>
  <c r="A38" i="16"/>
  <c r="B38" i="16"/>
  <c r="C38" i="16"/>
  <c r="D38" i="16"/>
  <c r="A39" i="16"/>
  <c r="B39" i="16"/>
  <c r="C39" i="16"/>
  <c r="D39" i="16"/>
  <c r="A40" i="16"/>
  <c r="B40" i="16"/>
  <c r="C40" i="16"/>
  <c r="D40" i="16"/>
  <c r="A41" i="16"/>
  <c r="B41" i="16"/>
  <c r="C41" i="16"/>
  <c r="D41" i="16"/>
  <c r="A42" i="16"/>
  <c r="B42" i="16"/>
  <c r="C42" i="16"/>
  <c r="D42" i="16"/>
  <c r="A43" i="16"/>
  <c r="B43" i="16"/>
  <c r="C43" i="16"/>
  <c r="D43" i="16"/>
  <c r="A44" i="16"/>
  <c r="B44" i="16"/>
  <c r="C44" i="16"/>
  <c r="D44" i="16"/>
  <c r="A45" i="16"/>
  <c r="B45" i="16"/>
  <c r="C45" i="16"/>
  <c r="D45" i="16"/>
  <c r="A46" i="16"/>
  <c r="B46" i="16"/>
  <c r="C46" i="16"/>
  <c r="D46" i="16"/>
  <c r="D30" i="16"/>
  <c r="C30" i="16"/>
  <c r="B30" i="16"/>
  <c r="A30" i="16"/>
  <c r="A20" i="16"/>
  <c r="B20" i="16"/>
  <c r="C20" i="16"/>
  <c r="D20" i="16"/>
  <c r="A21" i="16"/>
  <c r="B21" i="16"/>
  <c r="C21" i="16"/>
  <c r="D21" i="16"/>
  <c r="A22" i="16"/>
  <c r="B22" i="16"/>
  <c r="C22" i="16"/>
  <c r="D22" i="16"/>
  <c r="A23" i="16"/>
  <c r="B23" i="16"/>
  <c r="C23" i="16"/>
  <c r="D23" i="16"/>
  <c r="A24" i="16"/>
  <c r="B24" i="16"/>
  <c r="C24" i="16"/>
  <c r="D24" i="16"/>
  <c r="A25" i="16"/>
  <c r="B25" i="16"/>
  <c r="C25" i="16"/>
  <c r="D25" i="16"/>
  <c r="A26" i="16"/>
  <c r="B26" i="16"/>
  <c r="C26" i="16"/>
  <c r="D26" i="16"/>
  <c r="A27" i="16"/>
  <c r="B27" i="16"/>
  <c r="C27" i="16"/>
  <c r="D27" i="16"/>
  <c r="A28" i="16"/>
  <c r="B28" i="16"/>
  <c r="C28" i="16"/>
  <c r="D28" i="16"/>
  <c r="A29" i="16"/>
  <c r="B29" i="16"/>
  <c r="C29" i="16"/>
  <c r="D29" i="16"/>
  <c r="D19" i="16"/>
  <c r="C19" i="16"/>
  <c r="B19" i="16"/>
  <c r="A19" i="16"/>
  <c r="C4" i="16"/>
  <c r="C5" i="16"/>
  <c r="C6" i="16"/>
  <c r="C7" i="16"/>
  <c r="C12" i="16"/>
  <c r="C13" i="16"/>
  <c r="C14" i="16"/>
  <c r="C15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2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2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2" i="16"/>
  <c r="L19" i="7"/>
  <c r="M19" i="7"/>
  <c r="M18" i="7"/>
  <c r="L18" i="7"/>
  <c r="M17" i="7"/>
  <c r="L17" i="7"/>
  <c r="M16" i="7"/>
  <c r="L16" i="7"/>
  <c r="M15" i="7"/>
  <c r="L15" i="7"/>
  <c r="M14" i="7"/>
  <c r="L14" i="7"/>
  <c r="M13" i="7"/>
  <c r="L13" i="7"/>
  <c r="M12" i="7"/>
  <c r="L12" i="7"/>
  <c r="M11" i="7"/>
  <c r="L11" i="7"/>
  <c r="M10" i="7"/>
  <c r="L10" i="7"/>
  <c r="M9" i="7"/>
  <c r="L9" i="7"/>
  <c r="M8" i="7"/>
  <c r="L8" i="7"/>
  <c r="M7" i="7"/>
  <c r="L7" i="7"/>
  <c r="M6" i="7"/>
  <c r="L6" i="7"/>
  <c r="M5" i="7"/>
  <c r="L5" i="7"/>
  <c r="M4" i="7"/>
  <c r="L4" i="7"/>
  <c r="M3" i="7"/>
  <c r="L3" i="7"/>
  <c r="M2" i="7"/>
  <c r="L2" i="7"/>
  <c r="M18" i="6"/>
  <c r="L18" i="6"/>
  <c r="M17" i="6"/>
  <c r="L17" i="6"/>
  <c r="M16" i="6"/>
  <c r="L16" i="6"/>
  <c r="M15" i="6"/>
  <c r="L15" i="6"/>
  <c r="M14" i="6"/>
  <c r="L14" i="6"/>
  <c r="M13" i="6"/>
  <c r="L13" i="6"/>
  <c r="M12" i="6"/>
  <c r="L12" i="6"/>
  <c r="M11" i="6"/>
  <c r="L11" i="6"/>
  <c r="M10" i="6"/>
  <c r="L10" i="6"/>
  <c r="M9" i="6"/>
  <c r="L9" i="6"/>
  <c r="M8" i="6"/>
  <c r="L8" i="6"/>
  <c r="M7" i="6"/>
  <c r="L7" i="6"/>
  <c r="M6" i="6"/>
  <c r="L6" i="6"/>
  <c r="M5" i="6"/>
  <c r="L5" i="6"/>
  <c r="M4" i="6"/>
  <c r="L4" i="6"/>
  <c r="M3" i="6"/>
  <c r="L3" i="6"/>
  <c r="M2" i="6"/>
  <c r="L2" i="6"/>
  <c r="M18" i="4"/>
  <c r="L18" i="4"/>
  <c r="M17" i="4"/>
  <c r="L17" i="4"/>
  <c r="M16" i="4"/>
  <c r="L16" i="4"/>
  <c r="M15" i="4"/>
  <c r="L15" i="4"/>
  <c r="M14" i="4"/>
  <c r="L14" i="4"/>
  <c r="M13" i="4"/>
  <c r="L13" i="4"/>
  <c r="M12" i="4"/>
  <c r="L12" i="4"/>
  <c r="M11" i="4"/>
  <c r="L11" i="4"/>
  <c r="M10" i="4"/>
  <c r="L10" i="4"/>
  <c r="M9" i="4"/>
  <c r="L9" i="4"/>
  <c r="M8" i="4"/>
  <c r="L8" i="4"/>
  <c r="M7" i="4"/>
  <c r="L7" i="4"/>
  <c r="M6" i="4"/>
  <c r="L6" i="4"/>
  <c r="M5" i="4"/>
  <c r="L5" i="4"/>
  <c r="M4" i="4"/>
  <c r="L4" i="4"/>
  <c r="M3" i="4"/>
  <c r="L3" i="4"/>
  <c r="M2" i="4"/>
  <c r="L2" i="4"/>
  <c r="M17" i="5"/>
  <c r="L17" i="5"/>
  <c r="M16" i="5"/>
  <c r="L16" i="5"/>
  <c r="M15" i="5"/>
  <c r="L15" i="5"/>
  <c r="M14" i="5"/>
  <c r="L14" i="5"/>
  <c r="M13" i="5"/>
  <c r="L13" i="5"/>
  <c r="M12" i="5"/>
  <c r="L12" i="5"/>
  <c r="M11" i="5"/>
  <c r="L11" i="5"/>
  <c r="M10" i="5"/>
  <c r="L10" i="5"/>
  <c r="M9" i="5"/>
  <c r="L9" i="5"/>
  <c r="M8" i="5"/>
  <c r="L8" i="5"/>
  <c r="M7" i="5"/>
  <c r="L7" i="5"/>
  <c r="M6" i="5"/>
  <c r="L6" i="5"/>
  <c r="M5" i="5"/>
  <c r="L5" i="5"/>
  <c r="M4" i="5"/>
  <c r="L4" i="5"/>
  <c r="M3" i="5"/>
  <c r="L3" i="5"/>
  <c r="M2" i="5"/>
  <c r="L2" i="5"/>
  <c r="M18" i="2"/>
  <c r="L18" i="2"/>
  <c r="M17" i="2"/>
  <c r="L17" i="2"/>
  <c r="M16" i="2"/>
  <c r="L16" i="2"/>
  <c r="M15" i="2"/>
  <c r="L15" i="2"/>
  <c r="M14" i="2"/>
  <c r="L14" i="2"/>
  <c r="M13" i="2"/>
  <c r="L13" i="2"/>
  <c r="M12" i="2"/>
  <c r="L12" i="2"/>
  <c r="M11" i="2"/>
  <c r="L11" i="2"/>
  <c r="M10" i="2"/>
  <c r="L10" i="2"/>
  <c r="M9" i="2"/>
  <c r="L9" i="2"/>
  <c r="M8" i="2"/>
  <c r="L8" i="2"/>
  <c r="M7" i="2"/>
  <c r="L7" i="2"/>
  <c r="M6" i="2"/>
  <c r="L6" i="2"/>
  <c r="M5" i="2"/>
  <c r="L5" i="2"/>
  <c r="M4" i="2"/>
  <c r="L4" i="2"/>
  <c r="M3" i="2"/>
  <c r="L3" i="2"/>
  <c r="M2" i="2"/>
  <c r="L2" i="2"/>
  <c r="M12" i="3"/>
  <c r="L12" i="3"/>
  <c r="M11" i="3"/>
  <c r="L11" i="3"/>
  <c r="M10" i="3"/>
  <c r="L10" i="3"/>
  <c r="M9" i="3"/>
  <c r="L9" i="3"/>
  <c r="M8" i="3"/>
  <c r="L8" i="3"/>
  <c r="M7" i="3"/>
  <c r="L7" i="3"/>
  <c r="M6" i="3"/>
  <c r="L6" i="3"/>
  <c r="M5" i="3"/>
  <c r="L5" i="3"/>
  <c r="M4" i="3"/>
  <c r="L4" i="3"/>
  <c r="M3" i="3"/>
  <c r="L3" i="3"/>
  <c r="M2" i="3"/>
  <c r="L2" i="3"/>
  <c r="M3" i="1"/>
  <c r="C3" i="17" s="1"/>
  <c r="M4" i="1"/>
  <c r="C4" i="17" s="1"/>
  <c r="M5" i="1"/>
  <c r="C5" i="17" s="1"/>
  <c r="M6" i="1"/>
  <c r="C6" i="17" s="1"/>
  <c r="M7" i="1"/>
  <c r="C7" i="17" s="1"/>
  <c r="M8" i="1"/>
  <c r="C8" i="17" s="1"/>
  <c r="M9" i="1"/>
  <c r="C9" i="17" s="1"/>
  <c r="M10" i="1"/>
  <c r="C10" i="17" s="1"/>
  <c r="M11" i="1"/>
  <c r="C11" i="17" s="1"/>
  <c r="M12" i="1"/>
  <c r="C12" i="17" s="1"/>
  <c r="M13" i="1"/>
  <c r="C13" i="17" s="1"/>
  <c r="M14" i="1"/>
  <c r="C14" i="17" s="1"/>
  <c r="M15" i="1"/>
  <c r="C15" i="17" s="1"/>
  <c r="M16" i="1"/>
  <c r="C16" i="17" s="1"/>
  <c r="M17" i="1"/>
  <c r="C17" i="17" s="1"/>
  <c r="M18" i="1"/>
  <c r="C18" i="17" s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2" i="1"/>
  <c r="N11" i="1" l="1"/>
  <c r="N18" i="1"/>
  <c r="N10" i="1"/>
  <c r="N15" i="1"/>
  <c r="N7" i="1"/>
  <c r="C17" i="16"/>
  <c r="C9" i="16"/>
  <c r="N14" i="1"/>
  <c r="N6" i="1"/>
  <c r="C16" i="16"/>
  <c r="C8" i="16"/>
  <c r="N13" i="1"/>
  <c r="N5" i="1"/>
  <c r="N12" i="1"/>
  <c r="N4" i="1"/>
  <c r="N17" i="1"/>
  <c r="N9" i="1"/>
  <c r="C11" i="16"/>
  <c r="N16" i="1"/>
  <c r="N8" i="1"/>
  <c r="C18" i="16"/>
  <c r="C10" i="16"/>
  <c r="C3" i="16"/>
  <c r="N3" i="1"/>
  <c r="C3" i="8"/>
  <c r="I6" i="16" l="1"/>
  <c r="I5" i="16"/>
  <c r="I4" i="16"/>
  <c r="I3" i="16"/>
  <c r="G2" i="7" l="1"/>
  <c r="I17" i="7" s="1"/>
  <c r="J17" i="6"/>
  <c r="K17" i="6" s="1"/>
  <c r="I14" i="6"/>
  <c r="J13" i="6"/>
  <c r="K13" i="6" s="1"/>
  <c r="I12" i="6"/>
  <c r="J11" i="6"/>
  <c r="K11" i="6" s="1"/>
  <c r="I8" i="6"/>
  <c r="J6" i="6"/>
  <c r="K6" i="6" s="1"/>
  <c r="I6" i="6"/>
  <c r="J5" i="6"/>
  <c r="K5" i="6" s="1"/>
  <c r="G2" i="6"/>
  <c r="J18" i="6" s="1"/>
  <c r="K18" i="6" s="1"/>
  <c r="G2" i="5"/>
  <c r="I17" i="5" s="1"/>
  <c r="I16" i="4"/>
  <c r="G2" i="4"/>
  <c r="J18" i="4" s="1"/>
  <c r="K18" i="4" s="1"/>
  <c r="G2" i="3"/>
  <c r="J18" i="2"/>
  <c r="K18" i="2" s="1"/>
  <c r="G2" i="2"/>
  <c r="I16" i="2" s="1"/>
  <c r="G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M2" i="1"/>
  <c r="I5" i="1"/>
  <c r="I13" i="1"/>
  <c r="C2" i="17" l="1"/>
  <c r="N2" i="1"/>
  <c r="C2" i="16"/>
  <c r="J19" i="7"/>
  <c r="K19" i="7" s="1"/>
  <c r="I19" i="7"/>
  <c r="J8" i="6"/>
  <c r="K8" i="6" s="1"/>
  <c r="J14" i="6"/>
  <c r="K14" i="6" s="1"/>
  <c r="I3" i="6"/>
  <c r="I9" i="6"/>
  <c r="I16" i="6"/>
  <c r="J3" i="6"/>
  <c r="K3" i="6" s="1"/>
  <c r="J9" i="6"/>
  <c r="K9" i="6" s="1"/>
  <c r="J16" i="6"/>
  <c r="K16" i="6" s="1"/>
  <c r="I4" i="6"/>
  <c r="I11" i="6"/>
  <c r="I17" i="6"/>
  <c r="I4" i="5"/>
  <c r="J9" i="5"/>
  <c r="K9" i="5" s="1"/>
  <c r="I12" i="5"/>
  <c r="J17" i="5"/>
  <c r="K17" i="5" s="1"/>
  <c r="J5" i="4"/>
  <c r="K5" i="4" s="1"/>
  <c r="I8" i="4"/>
  <c r="J13" i="4"/>
  <c r="K13" i="4" s="1"/>
  <c r="I4" i="7"/>
  <c r="J9" i="7"/>
  <c r="K9" i="7" s="1"/>
  <c r="I12" i="7"/>
  <c r="J17" i="7"/>
  <c r="K17" i="7" s="1"/>
  <c r="J4" i="7"/>
  <c r="K4" i="7" s="1"/>
  <c r="I15" i="7"/>
  <c r="I10" i="7"/>
  <c r="I18" i="7"/>
  <c r="J2" i="7"/>
  <c r="K2" i="7" s="1"/>
  <c r="I13" i="7"/>
  <c r="J5" i="7"/>
  <c r="K5" i="7" s="1"/>
  <c r="I8" i="7"/>
  <c r="J13" i="7"/>
  <c r="K13" i="7" s="1"/>
  <c r="I16" i="7"/>
  <c r="I3" i="7"/>
  <c r="J8" i="7"/>
  <c r="K8" i="7" s="1"/>
  <c r="I11" i="7"/>
  <c r="J16" i="7"/>
  <c r="K16" i="7" s="1"/>
  <c r="I7" i="7"/>
  <c r="J12" i="7"/>
  <c r="K12" i="7" s="1"/>
  <c r="I2" i="7"/>
  <c r="J7" i="7"/>
  <c r="K7" i="7" s="1"/>
  <c r="J15" i="7"/>
  <c r="K15" i="7" s="1"/>
  <c r="I5" i="7"/>
  <c r="J10" i="7"/>
  <c r="K10" i="7" s="1"/>
  <c r="J18" i="7"/>
  <c r="K18" i="7" s="1"/>
  <c r="J3" i="7"/>
  <c r="K3" i="7" s="1"/>
  <c r="I6" i="7"/>
  <c r="J11" i="7"/>
  <c r="K11" i="7" s="1"/>
  <c r="I14" i="7"/>
  <c r="J6" i="7"/>
  <c r="K6" i="7" s="1"/>
  <c r="I9" i="7"/>
  <c r="J14" i="7"/>
  <c r="K14" i="7" s="1"/>
  <c r="J4" i="6"/>
  <c r="K4" i="6" s="1"/>
  <c r="I7" i="6"/>
  <c r="J12" i="6"/>
  <c r="K12" i="6" s="1"/>
  <c r="I15" i="6"/>
  <c r="I2" i="6"/>
  <c r="J7" i="6"/>
  <c r="K7" i="6" s="1"/>
  <c r="I10" i="6"/>
  <c r="J15" i="6"/>
  <c r="K15" i="6" s="1"/>
  <c r="I18" i="6"/>
  <c r="J2" i="6"/>
  <c r="K2" i="6" s="1"/>
  <c r="I5" i="6"/>
  <c r="J10" i="6"/>
  <c r="K10" i="6" s="1"/>
  <c r="I13" i="6"/>
  <c r="J4" i="5"/>
  <c r="K4" i="5" s="1"/>
  <c r="I7" i="5"/>
  <c r="J12" i="5"/>
  <c r="K12" i="5" s="1"/>
  <c r="I15" i="5"/>
  <c r="I2" i="5"/>
  <c r="J7" i="5"/>
  <c r="K7" i="5" s="1"/>
  <c r="I10" i="5"/>
  <c r="J15" i="5"/>
  <c r="K15" i="5" s="1"/>
  <c r="J2" i="5"/>
  <c r="K2" i="5" s="1"/>
  <c r="I5" i="5"/>
  <c r="J10" i="5"/>
  <c r="K10" i="5" s="1"/>
  <c r="I13" i="5"/>
  <c r="J5" i="5"/>
  <c r="K5" i="5" s="1"/>
  <c r="I8" i="5"/>
  <c r="J13" i="5"/>
  <c r="K13" i="5" s="1"/>
  <c r="I16" i="5"/>
  <c r="I3" i="5"/>
  <c r="J8" i="5"/>
  <c r="K8" i="5" s="1"/>
  <c r="I11" i="5"/>
  <c r="J16" i="5"/>
  <c r="K16" i="5" s="1"/>
  <c r="J3" i="5"/>
  <c r="K3" i="5" s="1"/>
  <c r="I6" i="5"/>
  <c r="J11" i="5"/>
  <c r="K11" i="5" s="1"/>
  <c r="I14" i="5"/>
  <c r="J6" i="5"/>
  <c r="K6" i="5" s="1"/>
  <c r="I9" i="5"/>
  <c r="J14" i="5"/>
  <c r="K14" i="5" s="1"/>
  <c r="I3" i="4"/>
  <c r="J8" i="4"/>
  <c r="K8" i="4" s="1"/>
  <c r="I11" i="4"/>
  <c r="J16" i="4"/>
  <c r="K16" i="4" s="1"/>
  <c r="J3" i="4"/>
  <c r="K3" i="4" s="1"/>
  <c r="I6" i="4"/>
  <c r="J11" i="4"/>
  <c r="K11" i="4" s="1"/>
  <c r="I14" i="4"/>
  <c r="J6" i="4"/>
  <c r="K6" i="4" s="1"/>
  <c r="I9" i="4"/>
  <c r="J14" i="4"/>
  <c r="K14" i="4" s="1"/>
  <c r="I17" i="4"/>
  <c r="J4" i="4"/>
  <c r="K4" i="4" s="1"/>
  <c r="I7" i="4"/>
  <c r="J12" i="4"/>
  <c r="K12" i="4" s="1"/>
  <c r="I15" i="4"/>
  <c r="I4" i="4"/>
  <c r="J9" i="4"/>
  <c r="K9" i="4" s="1"/>
  <c r="I12" i="4"/>
  <c r="J17" i="4"/>
  <c r="K17" i="4" s="1"/>
  <c r="I2" i="4"/>
  <c r="J7" i="4"/>
  <c r="K7" i="4" s="1"/>
  <c r="I10" i="4"/>
  <c r="J15" i="4"/>
  <c r="K15" i="4" s="1"/>
  <c r="I18" i="4"/>
  <c r="J2" i="4"/>
  <c r="K2" i="4" s="1"/>
  <c r="I5" i="4"/>
  <c r="J10" i="4"/>
  <c r="K10" i="4" s="1"/>
  <c r="I13" i="4"/>
  <c r="J4" i="3"/>
  <c r="K4" i="3" s="1"/>
  <c r="J12" i="3"/>
  <c r="K12" i="3" s="1"/>
  <c r="I10" i="3"/>
  <c r="I5" i="3"/>
  <c r="J10" i="3"/>
  <c r="K10" i="3" s="1"/>
  <c r="J5" i="3"/>
  <c r="K5" i="3" s="1"/>
  <c r="I11" i="3"/>
  <c r="I6" i="3"/>
  <c r="J11" i="3"/>
  <c r="K11" i="3" s="1"/>
  <c r="J6" i="3"/>
  <c r="K6" i="3" s="1"/>
  <c r="I9" i="3"/>
  <c r="I7" i="3"/>
  <c r="I2" i="3"/>
  <c r="J7" i="3"/>
  <c r="K7" i="3" s="1"/>
  <c r="J2" i="3"/>
  <c r="K2" i="3" s="1"/>
  <c r="I8" i="3"/>
  <c r="I3" i="3"/>
  <c r="J8" i="3"/>
  <c r="K8" i="3" s="1"/>
  <c r="J3" i="3"/>
  <c r="K3" i="3" s="1"/>
  <c r="I4" i="3"/>
  <c r="J9" i="3"/>
  <c r="K9" i="3" s="1"/>
  <c r="I12" i="3"/>
  <c r="I3" i="2"/>
  <c r="I11" i="2"/>
  <c r="J16" i="2"/>
  <c r="K16" i="2" s="1"/>
  <c r="J3" i="2"/>
  <c r="K3" i="2" s="1"/>
  <c r="I6" i="2"/>
  <c r="J11" i="2"/>
  <c r="K11" i="2" s="1"/>
  <c r="I14" i="2"/>
  <c r="J6" i="2"/>
  <c r="K6" i="2" s="1"/>
  <c r="I9" i="2"/>
  <c r="J14" i="2"/>
  <c r="K14" i="2" s="1"/>
  <c r="I17" i="2"/>
  <c r="J8" i="2"/>
  <c r="K8" i="2" s="1"/>
  <c r="I4" i="2"/>
  <c r="J9" i="2"/>
  <c r="K9" i="2" s="1"/>
  <c r="I12" i="2"/>
  <c r="J17" i="2"/>
  <c r="K17" i="2" s="1"/>
  <c r="J4" i="2"/>
  <c r="K4" i="2" s="1"/>
  <c r="I7" i="2"/>
  <c r="J12" i="2"/>
  <c r="K12" i="2" s="1"/>
  <c r="I15" i="2"/>
  <c r="I2" i="2"/>
  <c r="J7" i="2"/>
  <c r="K7" i="2" s="1"/>
  <c r="I10" i="2"/>
  <c r="J15" i="2"/>
  <c r="K15" i="2" s="1"/>
  <c r="I18" i="2"/>
  <c r="J2" i="2"/>
  <c r="K2" i="2" s="1"/>
  <c r="I5" i="2"/>
  <c r="J10" i="2"/>
  <c r="K10" i="2" s="1"/>
  <c r="I13" i="2"/>
  <c r="J5" i="2"/>
  <c r="K5" i="2" s="1"/>
  <c r="I8" i="2"/>
  <c r="J13" i="2"/>
  <c r="K13" i="2" s="1"/>
  <c r="I16" i="1"/>
  <c r="I8" i="1"/>
  <c r="I17" i="1"/>
  <c r="I9" i="1"/>
  <c r="I15" i="1"/>
  <c r="I7" i="1"/>
  <c r="I14" i="1"/>
  <c r="I6" i="1"/>
  <c r="I12" i="1"/>
  <c r="I4" i="1"/>
  <c r="I2" i="1"/>
  <c r="I11" i="1"/>
  <c r="I3" i="1"/>
  <c r="I18" i="1"/>
  <c r="I10" i="1"/>
</calcChain>
</file>

<file path=xl/connections.xml><?xml version="1.0" encoding="utf-8"?>
<connections xmlns="http://schemas.openxmlformats.org/spreadsheetml/2006/main">
  <connection id="1" name="apcsf_10x4.7_kt0836_4014" type="6" refreshedVersion="4" background="1" saveData="1">
    <textPr codePage="850" sourceFile="C:\Users\Dario\Dropbox\Robotica\Quadricottero\ModelloBase\APC-SF-10x4.7\apcsf_10x4.7_kt0836_4014.txt" delimited="0">
      <textFields count="4">
        <textField/>
        <textField position="6"/>
        <textField position="17"/>
        <textField position="26"/>
      </textFields>
    </textPr>
  </connection>
  <connection id="2" name="apcsf_10x4.7_kt0837_5018" type="6" refreshedVersion="4" background="1" saveData="1">
    <textPr codePage="850" sourceFile="C:\Users\Dario\Dropbox\Robotica\Quadricottero\ModelloBase\APC-SF-10x4.7\apcsf_10x4.7_kt0837_5018.txt" delimited="0">
      <textFields count="4">
        <textField/>
        <textField position="6"/>
        <textField position="15"/>
        <textField position="24"/>
      </textFields>
    </textPr>
  </connection>
  <connection id="3" name="apcsf_10x4.7_rd0838_4997" type="6" refreshedVersion="4" background="1" saveData="1">
    <textPr codePage="850" sourceFile="C:\Users\Dario\Dropbox\Robotica\Quadricottero\ModelloBase\APC-SF-10x4.7\apcsf_10x4.7_rd0838_4997.txt" delimited="0">
      <textFields count="4">
        <textField/>
        <textField position="6"/>
        <textField position="15"/>
        <textField position="24"/>
      </textFields>
    </textPr>
  </connection>
  <connection id="4" name="apcsf_10x4.7_rd0839_6023" type="6" refreshedVersion="4" background="1" saveData="1">
    <textPr codePage="850" sourceFile="C:\Users\Dario\Dropbox\Robotica\Quadricottero\ModelloBase\APC-SF-10x4.7\apcsf_10x4.7_rd0839_6023.txt" delimited="0">
      <textFields count="4">
        <textField/>
        <textField position="6"/>
        <textField position="15"/>
        <textField position="24"/>
      </textFields>
    </textPr>
  </connection>
  <connection id="5" name="apcsf_10x4.7_rd0840_6020" type="6" refreshedVersion="4" background="1" saveData="1">
    <textPr codePage="850" sourceFile="C:\Users\Dario\Dropbox\Robotica\Quadricottero\ModelloBase\APC-SF-10x4.7\apcsf_10x4.7_rd0840_6020.txt" delimited="0">
      <textFields count="4">
        <textField/>
        <textField position="6"/>
        <textField position="17"/>
        <textField position="26"/>
      </textFields>
    </textPr>
  </connection>
  <connection id="6" name="apcsf_10x4.7_rd0841_6512" type="6" refreshedVersion="4" background="1" saveData="1">
    <textPr codePage="850" sourceFile="C:\Users\Dario\Dropbox\Robotica\Quadricottero\ModelloBase\APC-SF-10x4.7\apcsf_10x4.7_rd0841_6512.txt" delimited="0">
      <textFields count="4">
        <textField/>
        <textField position="6"/>
        <textField position="15"/>
        <textField position="24"/>
      </textFields>
    </textPr>
  </connection>
  <connection id="7" name="apcsf_10x4.7_rd0842_6513" type="6" refreshedVersion="4" background="1" saveData="1">
    <textPr codePage="850" sourceFile="C:\Users\Dario\Dropbox\Robotica\Quadricottero\ModelloBase\APC-SF-10x4.7\apcsf_10x4.7_rd0842_6513.txt" delimited="0">
      <textFields count="4">
        <textField/>
        <textField position="6"/>
        <textField position="17"/>
        <textField position="26"/>
      </textFields>
    </textPr>
  </connection>
  <connection id="8" name="apcsf_10x4.7_static_kt0835" type="6" refreshedVersion="4" background="1" saveData="1">
    <textPr codePage="850" sourceFile="C:\Users\Dario\Dropbox\Robotica\Quadricottero\ModelloBase\APC-SF-10x4.7\apcsf_10x4.7_static_kt0835.txt" delimited="0">
      <textFields count="3">
        <textField/>
        <textField position="5"/>
        <textField position="14"/>
      </textFields>
    </textPr>
  </connection>
</connections>
</file>

<file path=xl/sharedStrings.xml><?xml version="1.0" encoding="utf-8"?>
<sst xmlns="http://schemas.openxmlformats.org/spreadsheetml/2006/main" count="111" uniqueCount="33">
  <si>
    <t>J</t>
  </si>
  <si>
    <t>CT</t>
  </si>
  <si>
    <t>CP</t>
  </si>
  <si>
    <t>eta</t>
  </si>
  <si>
    <t>n</t>
  </si>
  <si>
    <t>D</t>
  </si>
  <si>
    <t>rho</t>
  </si>
  <si>
    <t>T</t>
  </si>
  <si>
    <t>P</t>
  </si>
  <si>
    <t>Q</t>
  </si>
  <si>
    <t>rpm</t>
  </si>
  <si>
    <t>maxT</t>
  </si>
  <si>
    <t>maxJ</t>
  </si>
  <si>
    <t>minT</t>
  </si>
  <si>
    <t>minJ</t>
  </si>
  <si>
    <t>feet</t>
  </si>
  <si>
    <t>slugs/feet^3</t>
  </si>
  <si>
    <t>P [W]</t>
  </si>
  <si>
    <t>T [slugs/sec^2*feet]</t>
  </si>
  <si>
    <t>Q [slugs/sec^2*feet^2]</t>
  </si>
  <si>
    <t>1slug</t>
  </si>
  <si>
    <t>m</t>
  </si>
  <si>
    <t>kg</t>
  </si>
  <si>
    <t>1foot</t>
  </si>
  <si>
    <t>T[N]</t>
  </si>
  <si>
    <t>Q[Nm]</t>
  </si>
  <si>
    <t>RPM</t>
  </si>
  <si>
    <t>RPS</t>
  </si>
  <si>
    <t>T imperial</t>
  </si>
  <si>
    <t>Q imperial</t>
  </si>
  <si>
    <t>T metric</t>
  </si>
  <si>
    <t>Q metric</t>
  </si>
  <si>
    <t>T sperimentale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</si>
</sst>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2" fontId="0" fillId="0" borderId="0" xfId="0" applyNumberFormat="1"/>
    <xf numFmtId="0" fontId="0" fillId="0" borderId="0" xfId="0"/>
    <xf numFmtId="2" fontId="0" fillId="0" borderId="0" xfId="0" applyNumberFormat="1"/>
    <xf numFmtId="1" fontId="0" fillId="0" borderId="0" xfId="0" applyNumberFormat="1"/>
    <xf numFmtId="2" fontId="0" fillId="0" borderId="1" xfId="0" applyNumberFormat="1" applyBorder="1"/>
    <xf numFmtId="2" fontId="0" fillId="0" borderId="2" xfId="0" applyNumberFormat="1" applyBorder="1"/>
    <xf numFmtId="164" fontId="0" fillId="0" borderId="1" xfId="0" applyNumberFormat="1" applyBorder="1"/>
    <xf numFmtId="164" fontId="0" fillId="0" borderId="2" xfId="0" applyNumberFormat="1" applyBorder="1"/>
    <xf numFmtId="0" fontId="0" fillId="0" borderId="0" xfId="0" applyBorder="1"/>
    <xf numFmtId="11" fontId="0" fillId="0" borderId="0" xfId="0" applyNumberFormat="1" applyBorder="1"/>
    <xf numFmtId="1" fontId="0" fillId="0" borderId="0" xfId="0" applyNumberFormat="1" applyBorder="1"/>
    <xf numFmtId="164" fontId="0" fillId="0" borderId="0" xfId="0" applyNumberFormat="1" applyBorder="1"/>
    <xf numFmtId="0" fontId="0" fillId="0" borderId="0" xfId="0" applyFill="1" applyBorder="1"/>
    <xf numFmtId="2" fontId="0" fillId="0" borderId="0" xfId="0" applyNumberFormat="1" applyBorder="1"/>
    <xf numFmtId="0" fontId="1" fillId="0" borderId="0" xfId="0" applyFont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teorici</c:v>
          </c:tx>
          <c:spPr>
            <a:ln w="28575">
              <a:noFill/>
            </a:ln>
          </c:spPr>
          <c:trendline>
            <c:trendlineType val="poly"/>
            <c:order val="3"/>
            <c:intercept val="0"/>
            <c:dispRSqr val="1"/>
            <c:dispEq val="1"/>
            <c:trendlineLbl>
              <c:layout>
                <c:manualLayout>
                  <c:x val="-6.7371578552680916E-2"/>
                  <c:y val="6.9400807804128745E-2"/>
                </c:manualLayout>
              </c:layout>
              <c:numFmt formatCode="General" sourceLinked="0"/>
            </c:trendlineLbl>
          </c:trendline>
          <c:xVal>
            <c:numRef>
              <c:f>Static!$A$2:$A$17</c:f>
              <c:numCache>
                <c:formatCode>General</c:formatCode>
                <c:ptCount val="16"/>
                <c:pt idx="0">
                  <c:v>2377</c:v>
                </c:pt>
                <c:pt idx="1">
                  <c:v>2676</c:v>
                </c:pt>
                <c:pt idx="2">
                  <c:v>2947</c:v>
                </c:pt>
                <c:pt idx="3">
                  <c:v>3234</c:v>
                </c:pt>
                <c:pt idx="4">
                  <c:v>3494</c:v>
                </c:pt>
                <c:pt idx="5">
                  <c:v>3762</c:v>
                </c:pt>
                <c:pt idx="6">
                  <c:v>4029</c:v>
                </c:pt>
                <c:pt idx="7">
                  <c:v>4319</c:v>
                </c:pt>
                <c:pt idx="8">
                  <c:v>4590</c:v>
                </c:pt>
                <c:pt idx="9">
                  <c:v>4880</c:v>
                </c:pt>
                <c:pt idx="10">
                  <c:v>5147</c:v>
                </c:pt>
                <c:pt idx="11">
                  <c:v>5417</c:v>
                </c:pt>
                <c:pt idx="12">
                  <c:v>5715</c:v>
                </c:pt>
                <c:pt idx="13">
                  <c:v>5960</c:v>
                </c:pt>
                <c:pt idx="14">
                  <c:v>6226</c:v>
                </c:pt>
                <c:pt idx="15">
                  <c:v>6528</c:v>
                </c:pt>
              </c:numCache>
            </c:numRef>
          </c:xVal>
          <c:yVal>
            <c:numRef>
              <c:f>Static!$I$2:$I$17</c:f>
              <c:numCache>
                <c:formatCode>General</c:formatCode>
                <c:ptCount val="16"/>
                <c:pt idx="0">
                  <c:v>0.83254899542936012</c:v>
                </c:pt>
                <c:pt idx="1">
                  <c:v>1.074468718003603</c:v>
                </c:pt>
                <c:pt idx="2">
                  <c:v>1.3043439313537877</c:v>
                </c:pt>
                <c:pt idx="3">
                  <c:v>1.6063655357797493</c:v>
                </c:pt>
                <c:pt idx="4">
                  <c:v>1.8975457061983698</c:v>
                </c:pt>
                <c:pt idx="5">
                  <c:v>2.2499822144220318</c:v>
                </c:pt>
                <c:pt idx="6">
                  <c:v>2.6152231758104758</c:v>
                </c:pt>
                <c:pt idx="7">
                  <c:v>3.0555140315424572</c:v>
                </c:pt>
                <c:pt idx="8">
                  <c:v>3.5167194550609686</c:v>
                </c:pt>
                <c:pt idx="9">
                  <c:v>4.0494376572313664</c:v>
                </c:pt>
                <c:pt idx="10">
                  <c:v>4.5572728114098879</c:v>
                </c:pt>
                <c:pt idx="11">
                  <c:v>5.1103650944211401</c:v>
                </c:pt>
                <c:pt idx="12">
                  <c:v>5.7390454740097745</c:v>
                </c:pt>
                <c:pt idx="13">
                  <c:v>6.3121815367463627</c:v>
                </c:pt>
                <c:pt idx="14">
                  <c:v>6.9321700773499622</c:v>
                </c:pt>
                <c:pt idx="15">
                  <c:v>7.699554716100768</c:v>
                </c:pt>
              </c:numCache>
            </c:numRef>
          </c:yVal>
          <c:smooth val="0"/>
        </c:ser>
        <c:ser>
          <c:idx val="1"/>
          <c:order val="1"/>
          <c:tx>
            <c:v>sperimentali</c:v>
          </c:tx>
          <c:spPr>
            <a:ln w="28575">
              <a:noFill/>
            </a:ln>
          </c:spPr>
          <c:trendline>
            <c:trendlineType val="poly"/>
            <c:order val="3"/>
            <c:intercept val="0"/>
            <c:dispRSqr val="1"/>
            <c:dispEq val="1"/>
            <c:trendlineLbl>
              <c:layout>
                <c:manualLayout>
                  <c:x val="0.10220880805740873"/>
                  <c:y val="0.41996250573179728"/>
                </c:manualLayout>
              </c:layout>
              <c:numFmt formatCode="General" sourceLinked="0"/>
            </c:trendlineLbl>
          </c:trendline>
          <c:xVal>
            <c:numRef>
              <c:f>Static!$A$2:$A$17</c:f>
              <c:numCache>
                <c:formatCode>General</c:formatCode>
                <c:ptCount val="16"/>
                <c:pt idx="0">
                  <c:v>2377</c:v>
                </c:pt>
                <c:pt idx="1">
                  <c:v>2676</c:v>
                </c:pt>
                <c:pt idx="2">
                  <c:v>2947</c:v>
                </c:pt>
                <c:pt idx="3">
                  <c:v>3234</c:v>
                </c:pt>
                <c:pt idx="4">
                  <c:v>3494</c:v>
                </c:pt>
                <c:pt idx="5">
                  <c:v>3762</c:v>
                </c:pt>
                <c:pt idx="6">
                  <c:v>4029</c:v>
                </c:pt>
                <c:pt idx="7">
                  <c:v>4319</c:v>
                </c:pt>
                <c:pt idx="8">
                  <c:v>4590</c:v>
                </c:pt>
                <c:pt idx="9">
                  <c:v>4880</c:v>
                </c:pt>
                <c:pt idx="10">
                  <c:v>5147</c:v>
                </c:pt>
                <c:pt idx="11">
                  <c:v>5417</c:v>
                </c:pt>
                <c:pt idx="12">
                  <c:v>5715</c:v>
                </c:pt>
                <c:pt idx="13">
                  <c:v>5960</c:v>
                </c:pt>
                <c:pt idx="14">
                  <c:v>6226</c:v>
                </c:pt>
                <c:pt idx="15">
                  <c:v>6528</c:v>
                </c:pt>
              </c:numCache>
            </c:numRef>
          </c:xVal>
          <c:yVal>
            <c:numRef>
              <c:f>Static!$L$2:$L$17</c:f>
              <c:numCache>
                <c:formatCode>General</c:formatCode>
                <c:ptCount val="16"/>
                <c:pt idx="0">
                  <c:v>0.62827100265999991</c:v>
                </c:pt>
                <c:pt idx="1">
                  <c:v>0.81216471552000002</c:v>
                </c:pt>
                <c:pt idx="2">
                  <c:v>1.0081869124599998</c:v>
                </c:pt>
                <c:pt idx="3">
                  <c:v>1.24895501808</c:v>
                </c:pt>
                <c:pt idx="4">
                  <c:v>1.4988586356799998</c:v>
                </c:pt>
                <c:pt idx="5">
                  <c:v>1.7903842545599997</c:v>
                </c:pt>
                <c:pt idx="6">
                  <c:v>2.1173475577800001</c:v>
                </c:pt>
                <c:pt idx="7">
                  <c:v>2.5164447051800001</c:v>
                </c:pt>
                <c:pt idx="8">
                  <c:v>2.9332945799999997</c:v>
                </c:pt>
                <c:pt idx="9">
                  <c:v>3.4291174399999997</c:v>
                </c:pt>
                <c:pt idx="10">
                  <c:v>3.9335545004600001</c:v>
                </c:pt>
                <c:pt idx="11">
                  <c:v>4.4927936042600001</c:v>
                </c:pt>
                <c:pt idx="12">
                  <c:v>5.1702147675000001</c:v>
                </c:pt>
                <c:pt idx="13">
                  <c:v>5.7766227199999998</c:v>
                </c:pt>
                <c:pt idx="14">
                  <c:v>6.4877505035199992</c:v>
                </c:pt>
                <c:pt idx="15">
                  <c:v>7.3644697190399997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35904"/>
        <c:axId val="183635328"/>
      </c:scatterChart>
      <c:valAx>
        <c:axId val="183635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635328"/>
        <c:crosses val="autoZero"/>
        <c:crossBetween val="midCat"/>
      </c:valAx>
      <c:valAx>
        <c:axId val="183635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6359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504824</xdr:colOff>
      <xdr:row>9</xdr:row>
      <xdr:rowOff>90486</xdr:rowOff>
    </xdr:from>
    <xdr:to>
      <xdr:col>25</xdr:col>
      <xdr:colOff>533399</xdr:colOff>
      <xdr:row>31</xdr:row>
      <xdr:rowOff>19049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apcsf_10x4.7_static_kt0835" connectionId="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apcsf_10x4.7_kt0836_4014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apcsf_10x4.7_rd0838_4997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apcsf_10x4.7_kt0837_5018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apcsf_10x4.7_rd0840_6020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apcsf_10x4.7_rd0839_6023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apcsf_10x4.7_rd0841_6512" connectionId="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apcsf_10x4.7_rd0842_6513" connectionId="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B3:D8"/>
  <sheetViews>
    <sheetView workbookViewId="0">
      <selection activeCell="I17" sqref="I17"/>
    </sheetView>
  </sheetViews>
  <sheetFormatPr defaultRowHeight="15" x14ac:dyDescent="0.25"/>
  <sheetData>
    <row r="3" spans="2:4" x14ac:dyDescent="0.25">
      <c r="B3" t="s">
        <v>5</v>
      </c>
      <c r="C3" s="3">
        <f>10/12</f>
        <v>0.83333333333333337</v>
      </c>
      <c r="D3" t="s">
        <v>15</v>
      </c>
    </row>
    <row r="4" spans="2:4" x14ac:dyDescent="0.25">
      <c r="B4" t="s">
        <v>6</v>
      </c>
      <c r="C4">
        <v>2.3800000000000002E-3</v>
      </c>
      <c r="D4" t="s">
        <v>16</v>
      </c>
    </row>
    <row r="7" spans="2:4" x14ac:dyDescent="0.25">
      <c r="B7" t="s">
        <v>20</v>
      </c>
      <c r="C7">
        <v>14.593902999999999</v>
      </c>
      <c r="D7" t="s">
        <v>22</v>
      </c>
    </row>
    <row r="8" spans="2:4" x14ac:dyDescent="0.25">
      <c r="B8" t="s">
        <v>23</v>
      </c>
      <c r="C8">
        <v>0.30480000000000002</v>
      </c>
      <c r="D8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9"/>
  <sheetViews>
    <sheetView tabSelected="1" workbookViewId="0">
      <selection activeCell="O6" sqref="O6"/>
    </sheetView>
  </sheetViews>
  <sheetFormatPr defaultRowHeight="15" x14ac:dyDescent="0.25"/>
  <cols>
    <col min="1" max="1" width="5" bestFit="1" customWidth="1"/>
    <col min="2" max="3" width="7" bestFit="1" customWidth="1"/>
    <col min="7" max="8" width="12" bestFit="1" customWidth="1"/>
  </cols>
  <sheetData>
    <row r="1" spans="1:14" x14ac:dyDescent="0.25">
      <c r="A1" t="s">
        <v>26</v>
      </c>
      <c r="B1" t="s">
        <v>1</v>
      </c>
      <c r="C1" t="s">
        <v>2</v>
      </c>
      <c r="E1" t="s">
        <v>27</v>
      </c>
      <c r="G1" t="s">
        <v>28</v>
      </c>
      <c r="H1" t="s">
        <v>29</v>
      </c>
      <c r="I1" t="s">
        <v>30</v>
      </c>
      <c r="J1" t="s">
        <v>31</v>
      </c>
      <c r="L1" t="s">
        <v>32</v>
      </c>
    </row>
    <row r="2" spans="1:14" x14ac:dyDescent="0.25">
      <c r="A2">
        <v>2377</v>
      </c>
      <c r="B2">
        <v>0.10390000000000001</v>
      </c>
      <c r="C2">
        <v>4.3099999999999999E-2</v>
      </c>
      <c r="E2">
        <f>A2/60</f>
        <v>39.616666666666667</v>
      </c>
      <c r="G2">
        <f>B2*General!$C$4*E2^2*General!$C$3^4</f>
        <v>0.18716445893588188</v>
      </c>
      <c r="H2">
        <f>C2*E2^2*General!$C$4*General!$C$3^5/2/PI()</f>
        <v>1.0297314835931985E-2</v>
      </c>
      <c r="I2">
        <f>G2*General!$C$7*General!$C$8</f>
        <v>0.83254899542936012</v>
      </c>
      <c r="J2">
        <f>H2*General!$C$7*General!$C$8*General!$C$8</f>
        <v>1.3961284334247443E-2</v>
      </c>
      <c r="L2">
        <f>0.00000000002*A2^3 + 0.00000003*A2^2 + 0.00008*A2</f>
        <v>0.62827100265999991</v>
      </c>
      <c r="N2" s="2">
        <f t="shared" ref="N2:N16" si="0">ABS(L2-I2)/L2</f>
        <v>0.32514311802467333</v>
      </c>
    </row>
    <row r="3" spans="1:14" x14ac:dyDescent="0.25">
      <c r="A3">
        <v>2676</v>
      </c>
      <c r="B3">
        <v>0.10580000000000001</v>
      </c>
      <c r="C3">
        <v>4.3700000000000003E-2</v>
      </c>
      <c r="E3" s="2">
        <f t="shared" ref="E3:E17" si="1">A3/60</f>
        <v>44.6</v>
      </c>
      <c r="G3" s="2">
        <f>B3*General!$C$4*E3^2*General!$C$3^4</f>
        <v>0.24155017584876548</v>
      </c>
      <c r="H3" s="2">
        <f>C3*E3^2*General!$C$4*General!$C$3^5/2/PI()</f>
        <v>1.3232503357425799E-2</v>
      </c>
      <c r="I3" s="2">
        <f>G3*General!$C$7*General!$C$8</f>
        <v>1.074468718003603</v>
      </c>
      <c r="J3" s="2">
        <f>H3*General!$C$7*General!$C$8*General!$C$8</f>
        <v>1.7940865630548128E-2</v>
      </c>
      <c r="L3" s="2">
        <f t="shared" ref="L3:L17" si="2">0.00000000002*A3^3 + 0.00000003*A3^2 + 0.00008*A3</f>
        <v>0.81216471552000002</v>
      </c>
      <c r="N3" s="2">
        <f t="shared" si="0"/>
        <v>0.32296897103644684</v>
      </c>
    </row>
    <row r="4" spans="1:14" x14ac:dyDescent="0.25">
      <c r="A4">
        <v>2947</v>
      </c>
      <c r="B4">
        <v>0.10589999999999999</v>
      </c>
      <c r="C4">
        <v>4.3700000000000003E-2</v>
      </c>
      <c r="E4" s="2">
        <f t="shared" si="1"/>
        <v>49.116666666666667</v>
      </c>
      <c r="G4" s="2">
        <f>B4*General!$C$4*E4^2*General!$C$3^4</f>
        <v>0.29322817938448442</v>
      </c>
      <c r="H4" s="2">
        <f>C4*E4^2*General!$C$4*General!$C$3^5/2/PI()</f>
        <v>1.6048338138698107E-2</v>
      </c>
      <c r="I4" s="2">
        <f>G4*General!$C$7*General!$C$8</f>
        <v>1.3043439313537877</v>
      </c>
      <c r="J4" s="2">
        <f>H4*General!$C$7*General!$C$8*General!$C$8</f>
        <v>2.1758624982959739E-2</v>
      </c>
      <c r="L4" s="2">
        <f t="shared" si="2"/>
        <v>1.0081869124599998</v>
      </c>
      <c r="N4" s="2">
        <f t="shared" si="0"/>
        <v>0.29375209619727932</v>
      </c>
    </row>
    <row r="5" spans="1:14" x14ac:dyDescent="0.25">
      <c r="A5">
        <v>3234</v>
      </c>
      <c r="B5">
        <v>0.10829999999999999</v>
      </c>
      <c r="C5">
        <v>4.4400000000000002E-2</v>
      </c>
      <c r="E5" s="2">
        <f t="shared" si="1"/>
        <v>53.9</v>
      </c>
      <c r="G5" s="2">
        <f>B5*General!$C$4*E5^2*General!$C$3^4</f>
        <v>0.36112533677662051</v>
      </c>
      <c r="H5" s="2">
        <f>C5*E5^2*General!$C$4*General!$C$3^5/2/PI()</f>
        <v>1.9635924743100736E-2</v>
      </c>
      <c r="I5" s="2">
        <f>G5*General!$C$7*General!$C$8</f>
        <v>1.6063655357797493</v>
      </c>
      <c r="J5" s="2">
        <f>H5*General!$C$7*General!$C$8*General!$C$8</f>
        <v>2.6622739313331104E-2</v>
      </c>
      <c r="L5" s="2">
        <f t="shared" si="2"/>
        <v>1.24895501808</v>
      </c>
      <c r="N5" s="2">
        <f t="shared" si="0"/>
        <v>0.2861676461728711</v>
      </c>
    </row>
    <row r="6" spans="1:14" x14ac:dyDescent="0.25">
      <c r="A6">
        <v>3494</v>
      </c>
      <c r="B6">
        <v>0.1096</v>
      </c>
      <c r="C6">
        <v>4.4999999999999998E-2</v>
      </c>
      <c r="E6" s="2">
        <f t="shared" si="1"/>
        <v>58.233333333333334</v>
      </c>
      <c r="G6" s="2">
        <f>B6*General!$C$4*E6^2*General!$C$3^4</f>
        <v>0.42658524285836785</v>
      </c>
      <c r="H6" s="2">
        <f>C6*E6^2*General!$C$4*General!$C$3^5/2/PI()</f>
        <v>2.3229864296635223E-2</v>
      </c>
      <c r="I6" s="2">
        <f>G6*General!$C$7*General!$C$8</f>
        <v>1.8975457061983698</v>
      </c>
      <c r="J6" s="2">
        <f>H6*General!$C$7*General!$C$8*General!$C$8</f>
        <v>3.1495467086197333E-2</v>
      </c>
      <c r="L6" s="2">
        <f t="shared" si="2"/>
        <v>1.4988586356799998</v>
      </c>
      <c r="N6" s="2">
        <f t="shared" si="0"/>
        <v>0.26599377755027198</v>
      </c>
    </row>
    <row r="7" spans="1:14" x14ac:dyDescent="0.25">
      <c r="A7">
        <v>3762</v>
      </c>
      <c r="B7">
        <v>0.11210000000000001</v>
      </c>
      <c r="C7">
        <v>4.5999999999999999E-2</v>
      </c>
      <c r="E7" s="2">
        <f t="shared" si="1"/>
        <v>62.7</v>
      </c>
      <c r="G7" s="2">
        <f>B7*General!$C$4*E7^2*General!$C$3^4</f>
        <v>0.50581612144097254</v>
      </c>
      <c r="H7" s="2">
        <f>C7*E7^2*General!$C$4*General!$C$3^5/2/PI()</f>
        <v>2.7528577587373291E-2</v>
      </c>
      <c r="I7" s="2">
        <f>G7*General!$C$7*General!$C$8</f>
        <v>2.2499822144220318</v>
      </c>
      <c r="J7" s="2">
        <f>H7*General!$C$7*General!$C$8*General!$C$8</f>
        <v>3.7323739745588232E-2</v>
      </c>
      <c r="L7" s="2">
        <f t="shared" si="2"/>
        <v>1.7903842545599997</v>
      </c>
      <c r="N7" s="2">
        <f t="shared" si="0"/>
        <v>0.25670353092720966</v>
      </c>
    </row>
    <row r="8" spans="1:14" x14ac:dyDescent="0.25">
      <c r="A8">
        <v>4029</v>
      </c>
      <c r="B8">
        <v>0.11360000000000001</v>
      </c>
      <c r="C8">
        <v>4.6600000000000003E-2</v>
      </c>
      <c r="E8" s="2">
        <f t="shared" si="1"/>
        <v>67.150000000000006</v>
      </c>
      <c r="G8" s="2">
        <f>B8*General!$C$4*E8^2*General!$C$3^4</f>
        <v>0.58792555559413606</v>
      </c>
      <c r="H8" s="2">
        <f>C8*E8^2*General!$C$4*General!$C$3^5/2/PI()</f>
        <v>3.1986653746897555E-2</v>
      </c>
      <c r="I8" s="2">
        <f>G8*General!$C$7*General!$C$8</f>
        <v>2.6152231758104758</v>
      </c>
      <c r="J8" s="2">
        <f>H8*General!$C$7*General!$C$8*General!$C$8</f>
        <v>4.3368079443706714E-2</v>
      </c>
      <c r="L8" s="2">
        <f t="shared" si="2"/>
        <v>2.1173475577800001</v>
      </c>
      <c r="N8" s="2">
        <f t="shared" si="0"/>
        <v>0.23514118700119746</v>
      </c>
    </row>
    <row r="9" spans="1:14" x14ac:dyDescent="0.25">
      <c r="A9">
        <v>4319</v>
      </c>
      <c r="B9">
        <v>0.11550000000000001</v>
      </c>
      <c r="C9">
        <v>4.7399999999999998E-2</v>
      </c>
      <c r="E9" s="2">
        <f t="shared" si="1"/>
        <v>71.983333333333334</v>
      </c>
      <c r="G9" s="2">
        <f>B9*General!$C$4*E9^2*General!$C$3^4</f>
        <v>0.68690687710181986</v>
      </c>
      <c r="H9" s="2">
        <f>C9*E9^2*General!$C$4*General!$C$3^5/2/PI()</f>
        <v>3.7388075194074305E-2</v>
      </c>
      <c r="I9" s="2">
        <f>G9*General!$C$7*General!$C$8</f>
        <v>3.0555140315424572</v>
      </c>
      <c r="J9" s="2">
        <f>H9*General!$C$7*General!$C$8*General!$C$8</f>
        <v>5.0691423619801494E-2</v>
      </c>
      <c r="L9" s="2">
        <f t="shared" si="2"/>
        <v>2.5164447051800001</v>
      </c>
      <c r="N9" s="2">
        <f t="shared" si="0"/>
        <v>0.21421862568758399</v>
      </c>
    </row>
    <row r="10" spans="1:14" x14ac:dyDescent="0.25">
      <c r="A10">
        <v>4590</v>
      </c>
      <c r="B10">
        <v>0.1177</v>
      </c>
      <c r="C10">
        <v>4.8399999999999999E-2</v>
      </c>
      <c r="E10" s="2">
        <f t="shared" si="1"/>
        <v>76.5</v>
      </c>
      <c r="G10" s="2">
        <f>B10*General!$C$4*E10^2*General!$C$3^4</f>
        <v>0.79058998046875029</v>
      </c>
      <c r="H10" s="2">
        <f>C10*E10^2*General!$C$4*General!$C$3^5/2/PI()</f>
        <v>4.3118047877127495E-2</v>
      </c>
      <c r="I10" s="2">
        <f>G10*General!$C$7*General!$C$8</f>
        <v>3.5167194550609686</v>
      </c>
      <c r="J10" s="2">
        <f>H10*General!$C$7*General!$C$8*General!$C$8</f>
        <v>5.8460223460360693E-2</v>
      </c>
      <c r="L10" s="2">
        <f t="shared" si="2"/>
        <v>2.9332945799999997</v>
      </c>
      <c r="N10" s="2">
        <f t="shared" si="0"/>
        <v>0.19889747147760695</v>
      </c>
    </row>
    <row r="11" spans="1:14" x14ac:dyDescent="0.25">
      <c r="A11">
        <v>4880</v>
      </c>
      <c r="B11">
        <v>0.11990000000000001</v>
      </c>
      <c r="C11">
        <v>4.9399999999999999E-2</v>
      </c>
      <c r="E11" s="2">
        <f t="shared" si="1"/>
        <v>81.333333333333329</v>
      </c>
      <c r="G11" s="2">
        <f>B11*General!$C$4*E11^2*General!$C$3^4</f>
        <v>0.91034979595336118</v>
      </c>
      <c r="H11" s="2">
        <f>C11*E11^2*General!$C$4*General!$C$3^5/2/PI()</f>
        <v>4.9745631751824997E-2</v>
      </c>
      <c r="I11" s="2">
        <f>G11*General!$C$7*General!$C$8</f>
        <v>4.0494376572313664</v>
      </c>
      <c r="J11" s="2">
        <f>H11*General!$C$7*General!$C$8*General!$C$8</f>
        <v>6.7446020670410806E-2</v>
      </c>
      <c r="L11" s="2">
        <f t="shared" si="2"/>
        <v>3.4291174399999997</v>
      </c>
      <c r="N11" s="2">
        <f t="shared" si="0"/>
        <v>0.18089792142883468</v>
      </c>
    </row>
    <row r="12" spans="1:14" x14ac:dyDescent="0.25">
      <c r="A12">
        <v>5147</v>
      </c>
      <c r="B12">
        <v>0.12130000000000001</v>
      </c>
      <c r="C12">
        <v>0.05</v>
      </c>
      <c r="E12" s="2">
        <f t="shared" si="1"/>
        <v>85.783333333333331</v>
      </c>
      <c r="G12" s="2">
        <f>B12*General!$C$4*E12^2*General!$C$3^4</f>
        <v>1.024515679741888</v>
      </c>
      <c r="H12" s="2">
        <f>C12*E12^2*General!$C$4*General!$C$3^5/2/PI()</f>
        <v>5.6010145199943191E-2</v>
      </c>
      <c r="I12" s="2">
        <f>G12*General!$C$7*General!$C$8</f>
        <v>4.5572728114098879</v>
      </c>
      <c r="J12" s="2">
        <f>H12*General!$C$7*General!$C$8*General!$C$8</f>
        <v>7.5939560477478296E-2</v>
      </c>
      <c r="L12" s="2">
        <f t="shared" si="2"/>
        <v>3.9335545004600001</v>
      </c>
      <c r="N12" s="2">
        <f t="shared" si="0"/>
        <v>0.15856353607836082</v>
      </c>
    </row>
    <row r="13" spans="1:14" x14ac:dyDescent="0.25">
      <c r="A13">
        <v>5417</v>
      </c>
      <c r="B13">
        <v>0.12280000000000001</v>
      </c>
      <c r="C13">
        <v>5.0799999999999998E-2</v>
      </c>
      <c r="E13" s="2">
        <f t="shared" si="1"/>
        <v>90.283333333333331</v>
      </c>
      <c r="G13" s="2">
        <f>B13*General!$C$4*E13^2*General!$C$3^4</f>
        <v>1.1488557707872518</v>
      </c>
      <c r="H13" s="2">
        <f>C13*E13^2*General!$C$4*General!$C$3^5/2/PI()</f>
        <v>6.3033255977730601E-2</v>
      </c>
      <c r="I13" s="2">
        <f>G13*General!$C$7*General!$C$8</f>
        <v>5.1103650944211401</v>
      </c>
      <c r="J13" s="2">
        <f>H13*General!$C$7*General!$C$8*General!$C$8</f>
        <v>8.5461620164093019E-2</v>
      </c>
      <c r="L13" s="2">
        <f t="shared" si="2"/>
        <v>4.4927936042600001</v>
      </c>
      <c r="N13" s="2">
        <f t="shared" si="0"/>
        <v>0.1374582374706837</v>
      </c>
    </row>
    <row r="14" spans="1:14" x14ac:dyDescent="0.25">
      <c r="A14">
        <v>5715</v>
      </c>
      <c r="B14">
        <v>0.1239</v>
      </c>
      <c r="C14">
        <v>5.1299999999999998E-2</v>
      </c>
      <c r="E14" s="2">
        <f t="shared" si="1"/>
        <v>95.25</v>
      </c>
      <c r="G14" s="2">
        <f>B14*General!$C$4*E14^2*General!$C$3^4</f>
        <v>1.2901887418619795</v>
      </c>
      <c r="H14" s="2">
        <f>C14*E14^2*General!$C$4*General!$C$3^5/2/PI()</f>
        <v>7.0849728813343227E-2</v>
      </c>
      <c r="I14" s="2">
        <f>G14*General!$C$7*General!$C$8</f>
        <v>5.7390454740097745</v>
      </c>
      <c r="J14" s="2">
        <f>H14*General!$C$7*General!$C$8*General!$C$8</f>
        <v>9.6059334372860558E-2</v>
      </c>
      <c r="L14" s="2">
        <f t="shared" si="2"/>
        <v>5.1702147675000001</v>
      </c>
      <c r="N14" s="2">
        <f t="shared" si="0"/>
        <v>0.11002071134171205</v>
      </c>
    </row>
    <row r="15" spans="1:14" x14ac:dyDescent="0.25">
      <c r="A15">
        <v>5960</v>
      </c>
      <c r="B15">
        <v>0.12529999999999999</v>
      </c>
      <c r="C15">
        <v>5.1999999999999998E-2</v>
      </c>
      <c r="E15" s="2">
        <f t="shared" si="1"/>
        <v>99.333333333333329</v>
      </c>
      <c r="G15" s="2">
        <f>B15*General!$C$4*E15^2*General!$C$3^4</f>
        <v>1.4190348538237312</v>
      </c>
      <c r="H15" s="2">
        <f>C15*E15^2*General!$C$4*General!$C$3^5/2/PI()</f>
        <v>7.8105968296741574E-2</v>
      </c>
      <c r="I15" s="2">
        <f>G15*General!$C$7*General!$C$8</f>
        <v>6.3121815367463627</v>
      </c>
      <c r="J15" s="2">
        <f>H15*General!$C$7*General!$C$8*General!$C$8</f>
        <v>0.10589747414417389</v>
      </c>
      <c r="L15" s="2">
        <f t="shared" si="2"/>
        <v>5.7766227199999998</v>
      </c>
      <c r="N15" s="2">
        <f t="shared" si="0"/>
        <v>9.2711406423018561E-2</v>
      </c>
    </row>
    <row r="16" spans="1:14" x14ac:dyDescent="0.25">
      <c r="A16">
        <v>6226</v>
      </c>
      <c r="B16">
        <v>0.12609999999999999</v>
      </c>
      <c r="C16">
        <v>5.2400000000000002E-2</v>
      </c>
      <c r="E16" s="2">
        <f t="shared" si="1"/>
        <v>103.76666666666667</v>
      </c>
      <c r="G16" s="2">
        <f>B16*General!$C$4*E16^2*General!$C$3^4</f>
        <v>1.5584138217710481</v>
      </c>
      <c r="H16" s="2">
        <f>C16*E16^2*General!$C$4*General!$C$3^5/2/PI()</f>
        <v>8.5889065472917928E-2</v>
      </c>
      <c r="I16" s="2">
        <f>G16*General!$C$7*General!$C$8</f>
        <v>6.9321700773499622</v>
      </c>
      <c r="J16" s="2">
        <f>H16*General!$C$7*General!$C$8*General!$C$8</f>
        <v>0.11644993703464565</v>
      </c>
      <c r="L16" s="2">
        <f t="shared" si="2"/>
        <v>6.4877505035199992</v>
      </c>
      <c r="N16" s="2">
        <f t="shared" si="0"/>
        <v>6.850133549199193E-2</v>
      </c>
    </row>
    <row r="17" spans="1:14" x14ac:dyDescent="0.25">
      <c r="A17">
        <v>6528</v>
      </c>
      <c r="B17">
        <v>0.12740000000000001</v>
      </c>
      <c r="C17">
        <v>5.3100000000000001E-2</v>
      </c>
      <c r="E17" s="2">
        <f t="shared" si="1"/>
        <v>108.8</v>
      </c>
      <c r="G17" s="2">
        <f>B17*General!$C$4*E17^2*General!$C$3^4</f>
        <v>1.7309287506172848</v>
      </c>
      <c r="H17" s="2">
        <f>C17*E17^2*General!$C$4*General!$C$3^5/2/PI()</f>
        <v>9.5684847770230827E-2</v>
      </c>
      <c r="I17" s="2">
        <f>G17*General!$C$7*General!$C$8</f>
        <v>7.699554716100768</v>
      </c>
      <c r="J17" s="2">
        <f>H17*General!$C$7*General!$C$8*General!$C$8</f>
        <v>0.12973123454843533</v>
      </c>
      <c r="L17" s="2">
        <f t="shared" si="2"/>
        <v>7.3644697190399997</v>
      </c>
      <c r="N17" s="2">
        <f>ABS(L17-I17)/L17</f>
        <v>4.5500220632918642E-2</v>
      </c>
    </row>
    <row r="19" spans="1:14" x14ac:dyDescent="0.25">
      <c r="N19">
        <f>AVERAGE(N2:N17)</f>
        <v>0.19953998705891635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N18"/>
  <sheetViews>
    <sheetView workbookViewId="0">
      <selection activeCell="M2" sqref="M2"/>
    </sheetView>
  </sheetViews>
  <sheetFormatPr defaultRowHeight="15" x14ac:dyDescent="0.25"/>
  <cols>
    <col min="1" max="1" width="6" bestFit="1" customWidth="1"/>
    <col min="2" max="2" width="7.7109375" bestFit="1" customWidth="1"/>
    <col min="3" max="3" width="7" bestFit="1" customWidth="1"/>
    <col min="4" max="4" width="6.7109375" bestFit="1" customWidth="1"/>
    <col min="9" max="9" width="19" style="1" bestFit="1" customWidth="1"/>
    <col min="10" max="10" width="10.5703125" style="1" bestFit="1" customWidth="1"/>
    <col min="11" max="11" width="21.5703125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F1" t="s">
        <v>10</v>
      </c>
      <c r="G1">
        <v>4014</v>
      </c>
      <c r="I1" s="1" t="s">
        <v>18</v>
      </c>
      <c r="J1" s="1" t="s">
        <v>8</v>
      </c>
      <c r="K1" t="s">
        <v>19</v>
      </c>
      <c r="L1" t="s">
        <v>24</v>
      </c>
      <c r="M1" t="s">
        <v>25</v>
      </c>
      <c r="N1" t="s">
        <v>17</v>
      </c>
    </row>
    <row r="2" spans="1:14" x14ac:dyDescent="0.25">
      <c r="A2">
        <v>0.14199999999999999</v>
      </c>
      <c r="B2">
        <v>9.6199999999999994E-2</v>
      </c>
      <c r="C2">
        <v>4.5100000000000001E-2</v>
      </c>
      <c r="D2">
        <v>0.30199999999999999</v>
      </c>
      <c r="F2" t="s">
        <v>4</v>
      </c>
      <c r="G2">
        <f>G1/60</f>
        <v>66.900000000000006</v>
      </c>
      <c r="I2" s="1">
        <f>B2*General!$C$4*$G$2^2*General!$C$3^4</f>
        <v>0.49417330399305581</v>
      </c>
      <c r="J2" s="1">
        <f>C2*General!$C$4*$G$2^3*General!$C$3^5</f>
        <v>12.915928197113724</v>
      </c>
      <c r="K2">
        <f>C2*$G$2^2/2/PI()*General!$C$4*General!$C$3^5</f>
        <v>3.0726962887752476E-2</v>
      </c>
      <c r="L2">
        <f>I2*General!$C$7*General!$C$8</f>
        <v>2.1981923819648386</v>
      </c>
      <c r="M2">
        <f>K2*General!$C$7*General!$C$8*General!$C$8</f>
        <v>4.1660167960180128E-2</v>
      </c>
      <c r="N2">
        <f>M2*$G$2*2*PI()</f>
        <v>17.511647344354312</v>
      </c>
    </row>
    <row r="3" spans="1:14" x14ac:dyDescent="0.25">
      <c r="A3">
        <v>0.17799999999999999</v>
      </c>
      <c r="B3">
        <v>9.0800000000000006E-2</v>
      </c>
      <c r="C3">
        <v>4.4600000000000001E-2</v>
      </c>
      <c r="D3">
        <v>0.36199999999999999</v>
      </c>
      <c r="I3" s="1">
        <f>B3*General!$C$4*$G$2^2*General!$C$3^4</f>
        <v>0.46643384618055583</v>
      </c>
      <c r="J3" s="1">
        <f>C3*General!$C$4*$G$2^3*General!$C$3^5</f>
        <v>12.772736088498272</v>
      </c>
      <c r="K3" s="2">
        <f>C3*$G$2^2/2/PI()*General!$C$4*General!$C$3^5</f>
        <v>3.0386309197200902E-2</v>
      </c>
      <c r="L3" s="2">
        <f>I3*General!$C$7*General!$C$8</f>
        <v>2.0748011255967502</v>
      </c>
      <c r="M3" s="2">
        <f>K3*General!$C$7*General!$C$8*General!$C$8</f>
        <v>4.1198303570377695E-2</v>
      </c>
      <c r="N3" s="2">
        <f t="shared" ref="N3:N18" si="0">M3*$G$2*2*PI()</f>
        <v>17.317504912598725</v>
      </c>
    </row>
    <row r="4" spans="1:14" x14ac:dyDescent="0.25">
      <c r="A4">
        <v>0.216</v>
      </c>
      <c r="B4">
        <v>8.4400000000000003E-2</v>
      </c>
      <c r="C4">
        <v>4.36E-2</v>
      </c>
      <c r="D4">
        <v>0.41899999999999998</v>
      </c>
      <c r="I4" s="1">
        <f>B4*General!$C$4*$G$2^2*General!$C$3^4</f>
        <v>0.43355745173611132</v>
      </c>
      <c r="J4" s="1">
        <f>C4*General!$C$4*$G$2^3*General!$C$3^5</f>
        <v>12.486351871267368</v>
      </c>
      <c r="K4" s="2">
        <f>C4*$G$2^2/2/PI()*General!$C$4*General!$C$3^5</f>
        <v>2.970500181609774E-2</v>
      </c>
      <c r="L4" s="2">
        <f>I4*General!$C$7*General!$C$8</f>
        <v>1.9285596365679043</v>
      </c>
      <c r="M4" s="2">
        <f>K4*General!$C$7*General!$C$8*General!$C$8</f>
        <v>4.0274574790772816E-2</v>
      </c>
      <c r="N4" s="2">
        <f t="shared" si="0"/>
        <v>16.92922004908754</v>
      </c>
    </row>
    <row r="5" spans="1:14" x14ac:dyDescent="0.25">
      <c r="A5">
        <v>0.255</v>
      </c>
      <c r="B5">
        <v>7.8399999999999997E-2</v>
      </c>
      <c r="C5">
        <v>4.2700000000000002E-2</v>
      </c>
      <c r="D5">
        <v>0.46800000000000003</v>
      </c>
      <c r="I5" s="1">
        <f>B5*General!$C$4*$G$2^2*General!$C$3^4</f>
        <v>0.40273583194444468</v>
      </c>
      <c r="J5" s="1">
        <f>C5*General!$C$4*$G$2^3*General!$C$3^5</f>
        <v>12.228606075759554</v>
      </c>
      <c r="K5" s="2">
        <f>C5*$G$2^2/2/PI()*General!$C$4*General!$C$3^5</f>
        <v>2.9091825173104897E-2</v>
      </c>
      <c r="L5" s="2">
        <f>I5*General!$C$7*General!$C$8</f>
        <v>1.7914582406033612</v>
      </c>
      <c r="M5" s="2">
        <f>K5*General!$C$7*General!$C$8*General!$C$8</f>
        <v>3.9443218889128419E-2</v>
      </c>
      <c r="N5" s="2">
        <f t="shared" si="0"/>
        <v>16.579763671927477</v>
      </c>
    </row>
    <row r="6" spans="1:14" x14ac:dyDescent="0.25">
      <c r="A6">
        <v>0.28899999999999998</v>
      </c>
      <c r="B6">
        <v>7.1999999999999995E-2</v>
      </c>
      <c r="C6">
        <v>4.1399999999999999E-2</v>
      </c>
      <c r="D6">
        <v>0.503</v>
      </c>
      <c r="I6" s="1">
        <f>B6*General!$C$4*$G$2^2*General!$C$3^4</f>
        <v>0.36985943750000017</v>
      </c>
      <c r="J6" s="1">
        <f>C6*General!$C$4*$G$2^3*General!$C$3^5</f>
        <v>11.856306593359383</v>
      </c>
      <c r="K6" s="2">
        <f>C6*$G$2^2/2/PI()*General!$C$4*General!$C$3^5</f>
        <v>2.8206125577670792E-2</v>
      </c>
      <c r="L6" s="2">
        <f>I6*General!$C$7*General!$C$8</f>
        <v>1.6452167515745153</v>
      </c>
      <c r="M6" s="2">
        <f>K6*General!$C$7*General!$C$8*General!$C$8</f>
        <v>3.8242371475642079E-2</v>
      </c>
      <c r="N6" s="2">
        <f t="shared" si="0"/>
        <v>16.074993349362945</v>
      </c>
    </row>
    <row r="7" spans="1:14" x14ac:dyDescent="0.25">
      <c r="A7">
        <v>0.32600000000000001</v>
      </c>
      <c r="B7">
        <v>6.6299999999999998E-2</v>
      </c>
      <c r="C7">
        <v>4.07E-2</v>
      </c>
      <c r="D7">
        <v>0.53</v>
      </c>
      <c r="I7" s="1">
        <f>B7*General!$C$4*$G$2^2*General!$C$3^4</f>
        <v>0.3405788986979168</v>
      </c>
      <c r="J7" s="1">
        <f>C7*General!$C$4*$G$2^3*General!$C$3^5</f>
        <v>11.655837641297749</v>
      </c>
      <c r="K7" s="2">
        <f>C7*$G$2^2/2/PI()*General!$C$4*General!$C$3^5</f>
        <v>2.7729210410898583E-2</v>
      </c>
      <c r="L7" s="2">
        <f>I7*General!$C$7*General!$C$8</f>
        <v>1.5149704254081993</v>
      </c>
      <c r="M7" s="2">
        <f>K7*General!$C$7*General!$C$8*General!$C$8</f>
        <v>3.7595761329918667E-2</v>
      </c>
      <c r="N7" s="2">
        <f t="shared" si="0"/>
        <v>15.803193944905118</v>
      </c>
    </row>
    <row r="8" spans="1:14" x14ac:dyDescent="0.25">
      <c r="A8">
        <v>0.36099999999999999</v>
      </c>
      <c r="B8">
        <v>5.91E-2</v>
      </c>
      <c r="C8">
        <v>3.9199999999999999E-2</v>
      </c>
      <c r="D8">
        <v>0.54400000000000004</v>
      </c>
      <c r="I8" s="1">
        <f>B8*General!$C$4*$G$2^2*General!$C$3^4</f>
        <v>0.30359295494791683</v>
      </c>
      <c r="J8" s="1">
        <f>C8*General!$C$4*$G$2^3*General!$C$3^5</f>
        <v>11.226261315451396</v>
      </c>
      <c r="K8" s="2">
        <f>C8*$G$2^2/2/PI()*General!$C$4*General!$C$3^5</f>
        <v>2.6707249339243837E-2</v>
      </c>
      <c r="L8" s="2">
        <f>I8*General!$C$7*General!$C$8</f>
        <v>1.3504487502507483</v>
      </c>
      <c r="M8" s="2">
        <f>K8*General!$C$7*General!$C$8*General!$C$8</f>
        <v>3.6210168160511334E-2</v>
      </c>
      <c r="N8" s="2">
        <f t="shared" si="0"/>
        <v>15.220766649638339</v>
      </c>
    </row>
    <row r="9" spans="1:14" x14ac:dyDescent="0.25">
      <c r="A9">
        <v>0.39900000000000002</v>
      </c>
      <c r="B9">
        <v>5.1400000000000001E-2</v>
      </c>
      <c r="C9">
        <v>3.7499999999999999E-2</v>
      </c>
      <c r="D9">
        <v>0.54800000000000004</v>
      </c>
      <c r="I9" s="1">
        <f>B9*General!$C$4*$G$2^2*General!$C$3^4</f>
        <v>0.26403854288194456</v>
      </c>
      <c r="J9" s="1">
        <f>C9*General!$C$4*$G$2^3*General!$C$3^5</f>
        <v>10.73940814615886</v>
      </c>
      <c r="K9" s="2">
        <f>C9*$G$2^2/2/PI()*General!$C$4*General!$C$3^5</f>
        <v>2.554902679136847E-2</v>
      </c>
      <c r="L9" s="2">
        <f>I9*General!$C$7*General!$C$8</f>
        <v>1.174501958762918</v>
      </c>
      <c r="M9" s="2">
        <f>K9*General!$C$7*General!$C$8*General!$C$8</f>
        <v>3.4639829235183037E-2</v>
      </c>
      <c r="N9" s="2">
        <f t="shared" si="0"/>
        <v>14.560682381669331</v>
      </c>
    </row>
    <row r="10" spans="1:14" x14ac:dyDescent="0.25">
      <c r="A10">
        <v>0.438</v>
      </c>
      <c r="B10">
        <v>4.2599999999999999E-2</v>
      </c>
      <c r="C10">
        <v>3.5200000000000002E-2</v>
      </c>
      <c r="D10">
        <v>0.53100000000000003</v>
      </c>
      <c r="I10" s="1">
        <f>B10*General!$C$4*$G$2^2*General!$C$3^4</f>
        <v>0.21883350052083345</v>
      </c>
      <c r="J10" s="1">
        <f>C10*General!$C$4*$G$2^3*General!$C$3^5</f>
        <v>10.080724446527784</v>
      </c>
      <c r="K10" s="2">
        <f>C10*$G$2^2/2/PI()*General!$C$4*General!$C$3^5</f>
        <v>2.3982019814831203E-2</v>
      </c>
      <c r="L10" s="2">
        <f>I10*General!$C$7*General!$C$8</f>
        <v>0.9734199113482549</v>
      </c>
      <c r="M10" s="2">
        <f>K10*General!$C$7*General!$C$8*General!$C$8</f>
        <v>3.251525304209181E-2</v>
      </c>
      <c r="N10" s="2">
        <f t="shared" si="0"/>
        <v>13.66762719559361</v>
      </c>
    </row>
    <row r="11" spans="1:14" x14ac:dyDescent="0.25">
      <c r="A11">
        <v>0.46800000000000003</v>
      </c>
      <c r="B11">
        <v>3.5999999999999997E-2</v>
      </c>
      <c r="C11">
        <v>3.3500000000000002E-2</v>
      </c>
      <c r="D11">
        <v>0.502</v>
      </c>
      <c r="I11" s="1">
        <f>B11*General!$C$4*$G$2^2*General!$C$3^4</f>
        <v>0.18492971875000008</v>
      </c>
      <c r="J11" s="1">
        <f>C11*General!$C$4*$G$2^3*General!$C$3^5</f>
        <v>9.5938712772352481</v>
      </c>
      <c r="K11" s="2">
        <f>C11*$G$2^2/2/PI()*General!$C$4*General!$C$3^5</f>
        <v>2.2823797266955832E-2</v>
      </c>
      <c r="L11" s="2">
        <f>I11*General!$C$7*General!$C$8</f>
        <v>0.82260837578725765</v>
      </c>
      <c r="M11" s="2">
        <f>K11*General!$C$7*General!$C$8*General!$C$8</f>
        <v>3.0944914116763516E-2</v>
      </c>
      <c r="N11" s="2">
        <f t="shared" si="0"/>
        <v>13.007542927624604</v>
      </c>
    </row>
    <row r="12" spans="1:14" x14ac:dyDescent="0.25">
      <c r="A12">
        <v>0.51</v>
      </c>
      <c r="B12">
        <v>2.52E-2</v>
      </c>
      <c r="C12">
        <v>3.0800000000000001E-2</v>
      </c>
      <c r="D12">
        <v>0.41799999999999998</v>
      </c>
      <c r="I12" s="1">
        <f>B12*General!$C$4*$G$2^2*General!$C$3^4</f>
        <v>0.12945080312500007</v>
      </c>
      <c r="J12" s="1">
        <f>C12*General!$C$4*$G$2^3*General!$C$3^5</f>
        <v>8.8206338907118091</v>
      </c>
      <c r="K12" s="2">
        <f>C12*$G$2^2/2/PI()*General!$C$4*General!$C$3^5</f>
        <v>2.09842673379773E-2</v>
      </c>
      <c r="L12" s="2">
        <f>I12*General!$C$7*General!$C$8</f>
        <v>0.57582586305108041</v>
      </c>
      <c r="M12" s="2">
        <f>K12*General!$C$7*General!$C$8*General!$C$8</f>
        <v>2.8450846411830332E-2</v>
      </c>
      <c r="N12" s="2">
        <f t="shared" si="0"/>
        <v>11.959173796144409</v>
      </c>
    </row>
    <row r="13" spans="1:14" x14ac:dyDescent="0.25">
      <c r="A13">
        <v>0.53400000000000003</v>
      </c>
      <c r="B13">
        <v>1.9199999999999998E-2</v>
      </c>
      <c r="C13">
        <v>2.92E-2</v>
      </c>
      <c r="D13">
        <v>0.35099999999999998</v>
      </c>
      <c r="I13" s="1">
        <f>B13*General!$C$4*$G$2^2*General!$C$3^4</f>
        <v>9.862918333333337E-2</v>
      </c>
      <c r="J13" s="1">
        <f>C13*General!$C$4*$G$2^3*General!$C$3^5</f>
        <v>8.3624191431423647</v>
      </c>
      <c r="K13" s="2">
        <f>C13*$G$2^2/2/PI()*General!$C$4*General!$C$3^5</f>
        <v>1.9894175528212245E-2</v>
      </c>
      <c r="L13" s="2">
        <f>I13*General!$C$7*General!$C$8</f>
        <v>0.43872446708653745</v>
      </c>
      <c r="M13" s="2">
        <f>K13*General!$C$7*General!$C$8*General!$C$8</f>
        <v>2.6972880364462524E-2</v>
      </c>
      <c r="N13" s="2">
        <f t="shared" si="0"/>
        <v>11.337918014526519</v>
      </c>
    </row>
    <row r="14" spans="1:14" x14ac:dyDescent="0.25">
      <c r="A14">
        <v>0.57699999999999996</v>
      </c>
      <c r="B14">
        <v>7.1999999999999998E-3</v>
      </c>
      <c r="C14">
        <v>2.58E-2</v>
      </c>
      <c r="D14">
        <v>0.161</v>
      </c>
      <c r="I14" s="1">
        <f>B14*General!$C$4*$G$2^2*General!$C$3^4</f>
        <v>3.6985943750000014E-2</v>
      </c>
      <c r="J14" s="1">
        <f>C14*General!$C$4*$G$2^3*General!$C$3^5</f>
        <v>7.3887128045572972</v>
      </c>
      <c r="K14" s="2">
        <f>C14*$G$2^2/2/PI()*General!$C$4*General!$C$3^5</f>
        <v>1.7577730432461507E-2</v>
      </c>
      <c r="L14" s="2">
        <f>I14*General!$C$7*General!$C$8</f>
        <v>0.16452167515745153</v>
      </c>
      <c r="M14" s="2">
        <f>K14*General!$C$7*General!$C$8*General!$C$8</f>
        <v>2.3832202513805932E-2</v>
      </c>
      <c r="N14" s="2">
        <f t="shared" si="0"/>
        <v>10.017749478588501</v>
      </c>
    </row>
    <row r="15" spans="1:14" x14ac:dyDescent="0.25">
      <c r="A15">
        <v>0.61299999999999999</v>
      </c>
      <c r="B15">
        <v>-3.3E-3</v>
      </c>
      <c r="C15">
        <v>2.2800000000000001E-2</v>
      </c>
      <c r="D15">
        <v>-8.7999999999999995E-2</v>
      </c>
      <c r="I15" s="1">
        <f>B15*General!$C$4*$G$2^2*General!$C$3^4</f>
        <v>-1.6951890885416671E-2</v>
      </c>
      <c r="J15" s="1">
        <f>C15*General!$C$4*$G$2^3*General!$C$3^5</f>
        <v>6.5295601528645877</v>
      </c>
      <c r="K15" s="2">
        <f>C15*$G$2^2/2/PI()*General!$C$4*General!$C$3^5</f>
        <v>1.5533808289152028E-2</v>
      </c>
      <c r="L15" s="2">
        <f>I15*General!$C$7*General!$C$8</f>
        <v>-7.5405767780498609E-2</v>
      </c>
      <c r="M15" s="2">
        <f>K15*General!$C$7*General!$C$8*General!$C$8</f>
        <v>2.1061016174991287E-2</v>
      </c>
      <c r="N15" s="2">
        <f t="shared" si="0"/>
        <v>8.8528948880549532</v>
      </c>
    </row>
    <row r="16" spans="1:14" x14ac:dyDescent="0.25">
      <c r="A16">
        <v>0.64800000000000002</v>
      </c>
      <c r="B16">
        <v>-1.37E-2</v>
      </c>
      <c r="C16">
        <v>1.9900000000000001E-2</v>
      </c>
      <c r="D16">
        <v>-0.44600000000000001</v>
      </c>
      <c r="I16" s="1">
        <f>B16*General!$C$4*$G$2^2*General!$C$3^4</f>
        <v>-7.0376031857638938E-2</v>
      </c>
      <c r="J16" s="1">
        <f>C16*General!$C$4*$G$2^3*General!$C$3^5</f>
        <v>5.6990459228949693</v>
      </c>
      <c r="K16" s="2">
        <f>C16*$G$2^2/2/PI()*General!$C$4*General!$C$3^5</f>
        <v>1.3558016883952867E-2</v>
      </c>
      <c r="L16" s="2">
        <f>I16*General!$C$7*General!$C$8</f>
        <v>-0.31304818745237312</v>
      </c>
      <c r="M16" s="2">
        <f>K16*General!$C$7*General!$C$8*General!$C$8</f>
        <v>1.8382202714137132E-2</v>
      </c>
      <c r="N16" s="2">
        <f t="shared" si="0"/>
        <v>7.7268687838725238</v>
      </c>
    </row>
    <row r="17" spans="1:14" x14ac:dyDescent="0.25">
      <c r="A17">
        <v>0.68600000000000005</v>
      </c>
      <c r="B17">
        <v>-2.5700000000000001E-2</v>
      </c>
      <c r="C17">
        <v>1.6199999999999999E-2</v>
      </c>
      <c r="D17">
        <v>-1.0840000000000001</v>
      </c>
      <c r="I17" s="1">
        <f>B17*General!$C$4*$G$2^2*General!$C$3^4</f>
        <v>-0.13201927144097228</v>
      </c>
      <c r="J17" s="1">
        <f>C17*General!$C$4*$G$2^3*General!$C$3^5</f>
        <v>4.6394243191406277</v>
      </c>
      <c r="K17" s="2">
        <f>C17*$G$2^2/2/PI()*General!$C$4*General!$C$3^5</f>
        <v>1.1037179573871177E-2</v>
      </c>
      <c r="L17" s="2">
        <f>I17*General!$C$7*General!$C$8</f>
        <v>-0.58725097938145898</v>
      </c>
      <c r="M17" s="2">
        <f>K17*General!$C$7*General!$C$8*General!$C$8</f>
        <v>1.496440622959907E-2</v>
      </c>
      <c r="N17" s="2">
        <f t="shared" si="0"/>
        <v>6.2902147888811504</v>
      </c>
    </row>
    <row r="18" spans="1:14" x14ac:dyDescent="0.25">
      <c r="A18">
        <v>0.72</v>
      </c>
      <c r="B18">
        <v>-3.6499999999999998E-2</v>
      </c>
      <c r="C18">
        <v>1.2999999999999999E-2</v>
      </c>
      <c r="D18">
        <v>-2.0219999999999998</v>
      </c>
      <c r="I18" s="1">
        <f>B18*General!$C$4*$G$2^2*General!$C$3^4</f>
        <v>-0.18749818706597232</v>
      </c>
      <c r="J18" s="1">
        <f>C18*General!$C$4*$G$2^3*General!$C$3^5</f>
        <v>3.7229948240017379</v>
      </c>
      <c r="K18" s="2">
        <f>C18*$G$2^2/2/PI()*General!$C$4*General!$C$3^5</f>
        <v>8.8569959543410692E-3</v>
      </c>
      <c r="L18" s="2">
        <f>I18*General!$C$7*General!$C$8</f>
        <v>-0.83403349211763633</v>
      </c>
      <c r="M18" s="2">
        <f>K18*General!$C$7*General!$C$8*General!$C$8</f>
        <v>1.2008474134863455E-2</v>
      </c>
      <c r="N18" s="2">
        <f t="shared" si="0"/>
        <v>5.0477032256453693</v>
      </c>
    </row>
  </sheetData>
  <pageMargins left="0.7" right="0.7" top="0.75" bottom="0.75" header="0.3" footer="0.3"/>
  <pageSetup paperSize="9" orientation="portrait" horizontalDpi="4294967294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M18"/>
  <sheetViews>
    <sheetView workbookViewId="0">
      <selection activeCell="L13" sqref="L13:M18"/>
    </sheetView>
  </sheetViews>
  <sheetFormatPr defaultRowHeight="15" x14ac:dyDescent="0.25"/>
  <cols>
    <col min="1" max="1" width="6" bestFit="1" customWidth="1"/>
    <col min="2" max="2" width="7.7109375" bestFit="1" customWidth="1"/>
    <col min="3" max="3" width="7" bestFit="1" customWidth="1"/>
    <col min="4" max="4" width="6.710937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F1" t="s">
        <v>10</v>
      </c>
      <c r="G1">
        <v>4997</v>
      </c>
      <c r="I1" s="1" t="s">
        <v>7</v>
      </c>
      <c r="J1" s="1" t="s">
        <v>8</v>
      </c>
      <c r="K1" t="s">
        <v>9</v>
      </c>
      <c r="L1" s="2" t="s">
        <v>24</v>
      </c>
      <c r="M1" s="2" t="s">
        <v>25</v>
      </c>
    </row>
    <row r="2" spans="1:13" x14ac:dyDescent="0.25">
      <c r="A2">
        <v>0.48799999999999999</v>
      </c>
      <c r="B2">
        <v>3.39E-2</v>
      </c>
      <c r="C2">
        <v>3.3399999999999999E-2</v>
      </c>
      <c r="D2">
        <v>0.495</v>
      </c>
      <c r="F2" t="s">
        <v>4</v>
      </c>
      <c r="G2">
        <f>G1/60</f>
        <v>83.283333333333331</v>
      </c>
      <c r="I2" s="1">
        <f>B2*General!$C$4*$G$2^2*General!$C$3^4</f>
        <v>0.26987823995547205</v>
      </c>
      <c r="J2" s="1">
        <f>C2*General!$C$4*$G$2^3*General!$C$3^5</f>
        <v>18.454041409751024</v>
      </c>
      <c r="K2">
        <f>J2/2/PI()/$G$2</f>
        <v>3.5265782394049282E-2</v>
      </c>
      <c r="L2" s="2">
        <f>I2*General!$C$7*General!$C$8</f>
        <v>1.2004782256237252</v>
      </c>
      <c r="M2" s="2">
        <f>K2*General!$C$7*General!$C$8*General!$C$8</f>
        <v>4.7813980937532211E-2</v>
      </c>
    </row>
    <row r="3" spans="1:13" x14ac:dyDescent="0.25">
      <c r="A3">
        <v>0.52</v>
      </c>
      <c r="B3">
        <v>2.53E-2</v>
      </c>
      <c r="C3">
        <v>3.1099999999999999E-2</v>
      </c>
      <c r="D3">
        <v>0.42499999999999999</v>
      </c>
      <c r="I3" s="1">
        <f>B3*General!$C$4*$G$2^2*General!$C$3^4</f>
        <v>0.2014135537130809</v>
      </c>
      <c r="J3" s="1">
        <f>C3*General!$C$4*$G$2^3*General!$C$3^5</f>
        <v>17.183254127043618</v>
      </c>
      <c r="K3">
        <f t="shared" ref="K3:K12" si="0">J3/2/PI()/$G$2</f>
        <v>3.2837300372902174E-2</v>
      </c>
      <c r="L3" s="2">
        <f>I3*General!$C$7*General!$C$8</f>
        <v>0.89593212708791292</v>
      </c>
      <c r="M3" s="2">
        <f>K3*General!$C$7*General!$C$8*General!$C$8</f>
        <v>4.4521401411893757E-2</v>
      </c>
    </row>
    <row r="4" spans="1:13" x14ac:dyDescent="0.25">
      <c r="A4">
        <v>0.54800000000000004</v>
      </c>
      <c r="B4">
        <v>1.7999999999999999E-2</v>
      </c>
      <c r="C4">
        <v>2.9000000000000001E-2</v>
      </c>
      <c r="D4">
        <v>0.33900000000000002</v>
      </c>
      <c r="I4" s="1">
        <f>B4*General!$C$4*$G$2^2*General!$C$3^4</f>
        <v>0.14329818050733031</v>
      </c>
      <c r="J4" s="1">
        <f>C4*General!$C$4*$G$2^3*General!$C$3^5</f>
        <v>16.022970086310771</v>
      </c>
      <c r="K4">
        <f t="shared" si="0"/>
        <v>3.0619990701420036E-2</v>
      </c>
      <c r="L4" s="2">
        <f>I4*General!$C$7*General!$C$8</f>
        <v>0.63742206670286305</v>
      </c>
      <c r="M4" s="2">
        <f>K4*General!$C$7*General!$C$8*General!$C$8</f>
        <v>4.1515133149354316E-2</v>
      </c>
    </row>
    <row r="5" spans="1:13" x14ac:dyDescent="0.25">
      <c r="A5">
        <v>0.57599999999999996</v>
      </c>
      <c r="B5">
        <v>9.7999999999999997E-3</v>
      </c>
      <c r="C5">
        <v>2.6700000000000002E-2</v>
      </c>
      <c r="D5">
        <v>0.21199999999999999</v>
      </c>
      <c r="I5" s="1">
        <f>B5*General!$C$4*$G$2^2*General!$C$3^4</f>
        <v>7.8017898276213166E-2</v>
      </c>
      <c r="J5" s="1">
        <f>C5*General!$C$4*$G$2^3*General!$C$3^5</f>
        <v>14.752182803603363</v>
      </c>
      <c r="K5">
        <f t="shared" si="0"/>
        <v>2.8191508680272929E-2</v>
      </c>
      <c r="L5" s="2">
        <f>I5*General!$C$7*General!$C$8</f>
        <v>0.34704090298266987</v>
      </c>
      <c r="M5" s="2">
        <f>K5*General!$C$7*General!$C$8*General!$C$8</f>
        <v>3.822255362371587E-2</v>
      </c>
    </row>
    <row r="6" spans="1:13" x14ac:dyDescent="0.25">
      <c r="A6">
        <v>0.60499999999999998</v>
      </c>
      <c r="B6">
        <v>1.1999999999999999E-3</v>
      </c>
      <c r="C6">
        <v>2.4199999999999999E-2</v>
      </c>
      <c r="D6">
        <v>2.9000000000000001E-2</v>
      </c>
      <c r="I6" s="1">
        <f>B6*General!$C$4*$G$2^2*General!$C$3^4</f>
        <v>9.5532120338220183E-3</v>
      </c>
      <c r="J6" s="1">
        <f>C6*General!$C$4*$G$2^3*General!$C$3^5</f>
        <v>13.370892278921401</v>
      </c>
      <c r="K6">
        <f t="shared" si="0"/>
        <v>2.5551854309460859E-2</v>
      </c>
      <c r="L6" s="2">
        <f>I6*General!$C$7*General!$C$8</f>
        <v>4.249480444685752E-2</v>
      </c>
      <c r="M6" s="2">
        <f>K6*General!$C$7*General!$C$8*General!$C$8</f>
        <v>3.4643662834978432E-2</v>
      </c>
    </row>
    <row r="7" spans="1:13" x14ac:dyDescent="0.25">
      <c r="A7">
        <v>0.63700000000000001</v>
      </c>
      <c r="B7">
        <v>-8.2000000000000007E-3</v>
      </c>
      <c r="C7">
        <v>2.1499999999999998E-2</v>
      </c>
      <c r="D7">
        <v>-0.24399999999999999</v>
      </c>
      <c r="I7" s="1">
        <f>B7*General!$C$4*$G$2^2*General!$C$3^4</f>
        <v>-6.5280282231117134E-2</v>
      </c>
      <c r="J7" s="1">
        <f>C7*General!$C$4*$G$2^3*General!$C$3^5</f>
        <v>11.879098512264878</v>
      </c>
      <c r="K7">
        <f t="shared" si="0"/>
        <v>2.2701027588983815E-2</v>
      </c>
      <c r="L7" s="2">
        <f>I7*General!$C$7*General!$C$8</f>
        <v>-0.29038116372019313</v>
      </c>
      <c r="M7" s="2">
        <f>K7*General!$C$7*General!$C$8*General!$C$8</f>
        <v>3.0778460783141989E-2</v>
      </c>
    </row>
    <row r="8" spans="1:13" x14ac:dyDescent="0.25">
      <c r="A8">
        <v>0.66200000000000003</v>
      </c>
      <c r="B8">
        <v>-1.6199999999999999E-2</v>
      </c>
      <c r="C8">
        <v>1.9099999999999999E-2</v>
      </c>
      <c r="D8">
        <v>-0.56299999999999994</v>
      </c>
      <c r="I8" s="1">
        <f>B8*General!$C$4*$G$2^2*General!$C$3^4</f>
        <v>-0.12896836245659726</v>
      </c>
      <c r="J8" s="1">
        <f>C8*General!$C$4*$G$2^3*General!$C$3^5</f>
        <v>10.553059608570194</v>
      </c>
      <c r="K8">
        <f t="shared" si="0"/>
        <v>2.0166959393004228E-2</v>
      </c>
      <c r="L8" s="2">
        <f>I8*General!$C$7*General!$C$8</f>
        <v>-0.57367986003257665</v>
      </c>
      <c r="M8" s="2">
        <f>K8*General!$C$7*General!$C$8*General!$C$8</f>
        <v>2.7342725625954044E-2</v>
      </c>
    </row>
    <row r="9" spans="1:13" x14ac:dyDescent="0.25">
      <c r="A9">
        <v>0.69299999999999995</v>
      </c>
      <c r="B9">
        <v>-2.58E-2</v>
      </c>
      <c r="C9">
        <v>1.61E-2</v>
      </c>
      <c r="D9">
        <v>-1.109</v>
      </c>
      <c r="I9" s="1">
        <f>B9*General!$C$4*$G$2^2*General!$C$3^4</f>
        <v>-0.20539405872717342</v>
      </c>
      <c r="J9" s="1">
        <f>C9*General!$C$4*$G$2^3*General!$C$3^5</f>
        <v>8.8955109789518403</v>
      </c>
      <c r="K9">
        <f t="shared" si="0"/>
        <v>1.6999374148029742E-2</v>
      </c>
      <c r="L9" s="2">
        <f>I9*General!$C$7*General!$C$8</f>
        <v>-0.91363829560743692</v>
      </c>
      <c r="M9" s="2">
        <f>K9*General!$C$7*General!$C$8*General!$C$8</f>
        <v>2.3048056679469117E-2</v>
      </c>
    </row>
    <row r="10" spans="1:13" x14ac:dyDescent="0.25">
      <c r="A10">
        <v>0.72</v>
      </c>
      <c r="B10">
        <v>-3.44E-2</v>
      </c>
      <c r="C10">
        <v>1.34E-2</v>
      </c>
      <c r="D10">
        <v>-1.8440000000000001</v>
      </c>
      <c r="I10" s="1">
        <f>B10*General!$C$4*$G$2^2*General!$C$3^4</f>
        <v>-0.27385874496956458</v>
      </c>
      <c r="J10" s="1">
        <f>C10*General!$C$4*$G$2^3*General!$C$3^5</f>
        <v>7.4037172122953221</v>
      </c>
      <c r="K10">
        <f t="shared" si="0"/>
        <v>1.4148547427552708E-2</v>
      </c>
      <c r="L10" s="2">
        <f>I10*General!$C$7*General!$C$8</f>
        <v>-1.2181843941432493</v>
      </c>
      <c r="M10" s="2">
        <f>K10*General!$C$7*General!$C$8*General!$C$8</f>
        <v>1.9182854627632685E-2</v>
      </c>
    </row>
    <row r="11" spans="1:13" x14ac:dyDescent="0.25">
      <c r="A11">
        <v>0.75</v>
      </c>
      <c r="B11">
        <v>-4.4499999999999998E-2</v>
      </c>
      <c r="C11">
        <v>1.04E-2</v>
      </c>
      <c r="D11">
        <v>-3.1989999999999998</v>
      </c>
      <c r="I11" s="1">
        <f>B11*General!$C$4*$G$2^2*General!$C$3^4</f>
        <v>-0.35426494625423327</v>
      </c>
      <c r="J11" s="1">
        <f>C11*General!$C$4*$G$2^3*General!$C$3^5</f>
        <v>5.7461685826769644</v>
      </c>
      <c r="K11">
        <f t="shared" si="0"/>
        <v>1.0980962182578217E-2</v>
      </c>
      <c r="L11" s="2">
        <f>I11*General!$C$7*General!$C$8</f>
        <v>-1.5758489982376338</v>
      </c>
      <c r="M11" s="2">
        <f>K11*General!$C$7*General!$C$8*General!$C$8</f>
        <v>1.4888185681147749E-2</v>
      </c>
    </row>
    <row r="12" spans="1:13" x14ac:dyDescent="0.25">
      <c r="A12">
        <v>0.78300000000000003</v>
      </c>
      <c r="B12">
        <v>-5.5399999999999998E-2</v>
      </c>
      <c r="C12">
        <v>7.3000000000000001E-3</v>
      </c>
      <c r="D12">
        <v>-5.9640000000000004</v>
      </c>
      <c r="I12" s="1">
        <f>B12*General!$C$4*$G$2^2*General!$C$3^4</f>
        <v>-0.44103995556144993</v>
      </c>
      <c r="J12" s="1">
        <f>C12*General!$C$4*$G$2^3*General!$C$3^5</f>
        <v>4.0333683320713307</v>
      </c>
      <c r="K12">
        <f t="shared" si="0"/>
        <v>7.707790762771248E-3</v>
      </c>
      <c r="L12" s="2">
        <f>I12*General!$C$7*General!$C$8</f>
        <v>-1.961843471963256</v>
      </c>
      <c r="M12" s="2">
        <f>K12*General!$C$7*General!$C$8*General!$C$8</f>
        <v>1.0450361103113325E-2</v>
      </c>
    </row>
    <row r="13" spans="1:13" x14ac:dyDescent="0.25">
      <c r="I13" s="1"/>
      <c r="J13" s="1"/>
      <c r="L13" s="2"/>
      <c r="M13" s="2"/>
    </row>
    <row r="14" spans="1:13" x14ac:dyDescent="0.25">
      <c r="I14" s="1"/>
      <c r="J14" s="1"/>
      <c r="L14" s="2"/>
      <c r="M14" s="2"/>
    </row>
    <row r="15" spans="1:13" x14ac:dyDescent="0.25">
      <c r="I15" s="1"/>
      <c r="J15" s="1"/>
      <c r="L15" s="2"/>
      <c r="M15" s="2"/>
    </row>
    <row r="16" spans="1:13" x14ac:dyDescent="0.25">
      <c r="I16" s="1"/>
      <c r="J16" s="1"/>
      <c r="L16" s="2"/>
      <c r="M16" s="2"/>
    </row>
    <row r="17" spans="9:13" x14ac:dyDescent="0.25">
      <c r="I17" s="1"/>
      <c r="J17" s="1"/>
      <c r="L17" s="2"/>
      <c r="M17" s="2"/>
    </row>
    <row r="18" spans="9:13" x14ac:dyDescent="0.25">
      <c r="I18" s="1"/>
      <c r="J18" s="1"/>
      <c r="L18" s="2"/>
      <c r="M18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M18"/>
  <sheetViews>
    <sheetView workbookViewId="0">
      <selection activeCell="F32" sqref="F32"/>
    </sheetView>
  </sheetViews>
  <sheetFormatPr defaultRowHeight="15" x14ac:dyDescent="0.25"/>
  <cols>
    <col min="1" max="1" width="6" bestFit="1" customWidth="1"/>
    <col min="2" max="3" width="7" bestFit="1" customWidth="1"/>
    <col min="4" max="4" width="6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F1" t="s">
        <v>10</v>
      </c>
      <c r="G1">
        <v>5018</v>
      </c>
      <c r="I1" s="1" t="s">
        <v>7</v>
      </c>
      <c r="J1" s="1" t="s">
        <v>8</v>
      </c>
      <c r="K1" t="s">
        <v>9</v>
      </c>
      <c r="L1" s="2" t="s">
        <v>24</v>
      </c>
      <c r="M1" s="2" t="s">
        <v>25</v>
      </c>
    </row>
    <row r="2" spans="1:13" x14ac:dyDescent="0.25">
      <c r="A2">
        <v>0.115</v>
      </c>
      <c r="B2">
        <v>0.1046</v>
      </c>
      <c r="C2">
        <v>4.7600000000000003E-2</v>
      </c>
      <c r="D2">
        <v>0.252</v>
      </c>
      <c r="F2" t="s">
        <v>4</v>
      </c>
      <c r="G2">
        <f>G1/60</f>
        <v>83.63333333333334</v>
      </c>
      <c r="I2" s="1">
        <f>B2*General!$C$4*$G$2^2*General!$C$3^4</f>
        <v>0.83973541708890653</v>
      </c>
      <c r="J2" s="1">
        <f>C2*General!$C$4*$G$2^3*General!$C$3^5</f>
        <v>26.632743065185036</v>
      </c>
      <c r="K2">
        <f>J2/2/PI()/$G$2</f>
        <v>5.0682336073183669E-2</v>
      </c>
      <c r="L2" s="2">
        <f>I2*General!$C$7*General!$C$8</f>
        <v>3.7353292494667816</v>
      </c>
      <c r="M2" s="2">
        <f>K2*General!$C$7*General!$C$8*General!$C$8</f>
        <v>6.8716021207052946E-2</v>
      </c>
    </row>
    <row r="3" spans="1:13" x14ac:dyDescent="0.25">
      <c r="A3">
        <v>0.14299999999999999</v>
      </c>
      <c r="B3">
        <v>0.1004</v>
      </c>
      <c r="C3">
        <v>4.7199999999999999E-2</v>
      </c>
      <c r="D3">
        <v>0.30399999999999999</v>
      </c>
      <c r="I3" s="1">
        <f>B3*General!$C$4*$G$2^2*General!$C$3^4</f>
        <v>0.80601755139317599</v>
      </c>
      <c r="J3" s="1">
        <f>C3*General!$C$4*$G$2^3*General!$C$3^5</f>
        <v>26.408938501612049</v>
      </c>
      <c r="K3">
        <f t="shared" ref="K3:K18" si="0">J3/2/PI()/$G$2</f>
        <v>5.0256434089375406E-2</v>
      </c>
      <c r="L3" s="2">
        <f>I3*General!$C$7*General!$C$8</f>
        <v>3.5853447098132389</v>
      </c>
      <c r="M3" s="2">
        <f>K3*General!$C$7*General!$C$8*General!$C$8</f>
        <v>6.8138575650691161E-2</v>
      </c>
    </row>
    <row r="4" spans="1:13" x14ac:dyDescent="0.25">
      <c r="A4">
        <v>0.17299999999999999</v>
      </c>
      <c r="B4">
        <v>9.5600000000000004E-2</v>
      </c>
      <c r="C4">
        <v>4.65E-2</v>
      </c>
      <c r="D4">
        <v>0.35499999999999998</v>
      </c>
      <c r="I4" s="1">
        <f>B4*General!$C$4*$G$2^2*General!$C$3^4</f>
        <v>0.76748284774091258</v>
      </c>
      <c r="J4" s="1">
        <f>C4*General!$C$4*$G$2^3*General!$C$3^5</f>
        <v>26.017280515359332</v>
      </c>
      <c r="K4">
        <f t="shared" si="0"/>
        <v>4.9511105617710938E-2</v>
      </c>
      <c r="L4" s="2">
        <f>I4*General!$C$7*General!$C$8</f>
        <v>3.4139338073520484</v>
      </c>
      <c r="M4" s="2">
        <f>K4*General!$C$7*General!$C$8*General!$C$8</f>
        <v>6.7128045927058025E-2</v>
      </c>
    </row>
    <row r="5" spans="1:13" x14ac:dyDescent="0.25">
      <c r="A5">
        <v>0.19900000000000001</v>
      </c>
      <c r="B5">
        <v>9.1399999999999995E-2</v>
      </c>
      <c r="C5">
        <v>4.5900000000000003E-2</v>
      </c>
      <c r="D5">
        <v>0.39700000000000002</v>
      </c>
      <c r="I5" s="1">
        <f>B5*General!$C$4*$G$2^2*General!$C$3^4</f>
        <v>0.73376498204518215</v>
      </c>
      <c r="J5" s="1">
        <f>C5*General!$C$4*$G$2^3*General!$C$3^5</f>
        <v>25.681573669999857</v>
      </c>
      <c r="K5">
        <f t="shared" si="0"/>
        <v>4.8872252641998543E-2</v>
      </c>
      <c r="L5" s="2">
        <f>I5*General!$C$7*General!$C$8</f>
        <v>3.2639492676985067</v>
      </c>
      <c r="M5" s="2">
        <f>K5*General!$C$7*General!$C$8*General!$C$8</f>
        <v>6.6261877592515353E-2</v>
      </c>
    </row>
    <row r="6" spans="1:13" x14ac:dyDescent="0.25">
      <c r="A6">
        <v>0.23100000000000001</v>
      </c>
      <c r="B6">
        <v>8.6400000000000005E-2</v>
      </c>
      <c r="C6">
        <v>4.5199999999999997E-2</v>
      </c>
      <c r="D6">
        <v>0.442</v>
      </c>
      <c r="I6" s="1">
        <f>B6*General!$C$4*$G$2^2*General!$C$3^4</f>
        <v>0.69362466574074111</v>
      </c>
      <c r="J6" s="1">
        <f>C6*General!$C$4*$G$2^3*General!$C$3^5</f>
        <v>25.289915683747132</v>
      </c>
      <c r="K6">
        <f t="shared" si="0"/>
        <v>4.8126924170334068E-2</v>
      </c>
      <c r="L6" s="2">
        <f>I6*General!$C$7*General!$C$8</f>
        <v>3.0853962443014331</v>
      </c>
      <c r="M6" s="2">
        <f>K6*General!$C$7*General!$C$8*General!$C$8</f>
        <v>6.5251347868882204E-2</v>
      </c>
    </row>
    <row r="7" spans="1:13" x14ac:dyDescent="0.25">
      <c r="A7">
        <v>0.26300000000000001</v>
      </c>
      <c r="B7">
        <v>8.0799999999999997E-2</v>
      </c>
      <c r="C7">
        <v>4.4200000000000003E-2</v>
      </c>
      <c r="D7">
        <v>0.48099999999999998</v>
      </c>
      <c r="I7" s="1">
        <f>B7*General!$C$4*$G$2^2*General!$C$3^4</f>
        <v>0.64866751147976709</v>
      </c>
      <c r="J7" s="1">
        <f>C7*General!$C$4*$G$2^3*General!$C$3^5</f>
        <v>24.730404274814674</v>
      </c>
      <c r="K7">
        <f t="shared" si="0"/>
        <v>4.7062169210813402E-2</v>
      </c>
      <c r="L7" s="2">
        <f>I7*General!$C$7*General!$C$8</f>
        <v>2.8854168580967103</v>
      </c>
      <c r="M7" s="2">
        <f>K7*General!$C$7*General!$C$8*General!$C$8</f>
        <v>6.3807733977977732E-2</v>
      </c>
    </row>
    <row r="8" spans="1:13" x14ac:dyDescent="0.25">
      <c r="A8">
        <v>0.28999999999999998</v>
      </c>
      <c r="B8">
        <v>7.5999999999999998E-2</v>
      </c>
      <c r="C8">
        <v>4.3299999999999998E-2</v>
      </c>
      <c r="D8">
        <v>0.50900000000000001</v>
      </c>
      <c r="I8" s="1">
        <f>B8*General!$C$4*$G$2^2*General!$C$3^4</f>
        <v>0.61013280782750379</v>
      </c>
      <c r="J8" s="1">
        <f>C8*General!$C$4*$G$2^3*General!$C$3^5</f>
        <v>24.226844006775462</v>
      </c>
      <c r="K8">
        <f t="shared" si="0"/>
        <v>4.610388974724481E-2</v>
      </c>
      <c r="L8" s="2">
        <f>I8*General!$C$7*General!$C$8</f>
        <v>2.7140059556355203</v>
      </c>
      <c r="M8" s="2">
        <f>K8*General!$C$7*General!$C$8*General!$C$8</f>
        <v>6.250848147616371E-2</v>
      </c>
    </row>
    <row r="9" spans="1:13" x14ac:dyDescent="0.25">
      <c r="A9">
        <v>0.31900000000000001</v>
      </c>
      <c r="B9">
        <v>7.1099999999999997E-2</v>
      </c>
      <c r="C9">
        <v>4.2599999999999999E-2</v>
      </c>
      <c r="D9">
        <v>0.53200000000000003</v>
      </c>
      <c r="I9" s="1">
        <f>B9*General!$C$4*$G$2^2*General!$C$3^4</f>
        <v>0.57079529784915151</v>
      </c>
      <c r="J9" s="1">
        <f>C9*General!$C$4*$G$2^3*General!$C$3^5</f>
        <v>23.835186020522737</v>
      </c>
      <c r="K9">
        <f t="shared" si="0"/>
        <v>4.5358561275580335E-2</v>
      </c>
      <c r="L9" s="2">
        <f>I9*General!$C$7*General!$C$8</f>
        <v>2.5390239927063876</v>
      </c>
      <c r="M9" s="2">
        <f>K9*General!$C$7*General!$C$8*General!$C$8</f>
        <v>6.1497951752530575E-2</v>
      </c>
    </row>
    <row r="10" spans="1:13" x14ac:dyDescent="0.25">
      <c r="A10">
        <v>0.35</v>
      </c>
      <c r="B10">
        <v>6.4899999999999999E-2</v>
      </c>
      <c r="C10">
        <v>4.1300000000000003E-2</v>
      </c>
      <c r="D10">
        <v>0.55000000000000004</v>
      </c>
      <c r="I10" s="1">
        <f>B10*General!$C$4*$G$2^2*General!$C$3^4</f>
        <v>0.52102130563164462</v>
      </c>
      <c r="J10" s="1">
        <f>C10*General!$C$4*$G$2^3*General!$C$3^5</f>
        <v>23.107821188910545</v>
      </c>
      <c r="K10">
        <f t="shared" si="0"/>
        <v>4.3974379828203479E-2</v>
      </c>
      <c r="L10" s="2">
        <f>I10*General!$C$7*General!$C$8</f>
        <v>2.317618243694016</v>
      </c>
      <c r="M10" s="2">
        <f>K10*General!$C$7*General!$C$8*General!$C$8</f>
        <v>5.9621253694354767E-2</v>
      </c>
    </row>
    <row r="11" spans="1:13" x14ac:dyDescent="0.25">
      <c r="A11">
        <v>0.377</v>
      </c>
      <c r="B11">
        <v>5.9499999999999997E-2</v>
      </c>
      <c r="C11">
        <v>4.0099999999999997E-2</v>
      </c>
      <c r="D11">
        <v>0.55900000000000005</v>
      </c>
      <c r="I11" s="1">
        <f>B11*General!$C$4*$G$2^2*General!$C$3^4</f>
        <v>0.47766976402284828</v>
      </c>
      <c r="J11" s="1">
        <f>C11*General!$C$4*$G$2^3*General!$C$3^5</f>
        <v>22.436407498191592</v>
      </c>
      <c r="K11">
        <f t="shared" si="0"/>
        <v>4.2696673876778675E-2</v>
      </c>
      <c r="L11" s="2">
        <f>I11*General!$C$7*General!$C$8</f>
        <v>2.1247809784251763</v>
      </c>
      <c r="M11" s="2">
        <f>K11*General!$C$7*General!$C$8*General!$C$8</f>
        <v>5.7888917025269389E-2</v>
      </c>
    </row>
    <row r="12" spans="1:13" x14ac:dyDescent="0.25">
      <c r="A12">
        <v>0.40799999999999997</v>
      </c>
      <c r="B12">
        <v>5.2600000000000001E-2</v>
      </c>
      <c r="C12">
        <v>3.8300000000000001E-2</v>
      </c>
      <c r="D12">
        <v>0.56100000000000005</v>
      </c>
      <c r="I12" s="1">
        <f>B12*General!$C$4*$G$2^2*General!$C$3^4</f>
        <v>0.42227612752271965</v>
      </c>
      <c r="J12" s="1">
        <f>C12*General!$C$4*$G$2^3*General!$C$3^5</f>
        <v>21.429286962113167</v>
      </c>
      <c r="K12">
        <f t="shared" si="0"/>
        <v>4.0780114949641483E-2</v>
      </c>
      <c r="L12" s="2">
        <f>I12*General!$C$7*General!$C$8</f>
        <v>1.8783778061372149</v>
      </c>
      <c r="M12" s="2">
        <f>K12*General!$C$7*General!$C$8*General!$C$8</f>
        <v>5.5290412021641346E-2</v>
      </c>
    </row>
    <row r="13" spans="1:13" x14ac:dyDescent="0.25">
      <c r="A13">
        <v>0.432</v>
      </c>
      <c r="B13">
        <v>4.7399999999999998E-2</v>
      </c>
      <c r="C13">
        <v>3.6999999999999998E-2</v>
      </c>
      <c r="D13">
        <v>0.55400000000000005</v>
      </c>
      <c r="I13" s="1">
        <f>B13*General!$C$4*$G$2^2*General!$C$3^4</f>
        <v>0.38053019856610104</v>
      </c>
      <c r="J13" s="1">
        <f>C13*General!$C$4*$G$2^3*General!$C$3^5</f>
        <v>20.701922130500972</v>
      </c>
      <c r="K13">
        <f t="shared" si="0"/>
        <v>3.9395933502264613E-2</v>
      </c>
      <c r="L13" s="2">
        <f>I13*General!$C$7*General!$C$8</f>
        <v>1.6926826618042583</v>
      </c>
      <c r="M13" s="2">
        <f>K13*General!$C$7*General!$C$8*General!$C$8</f>
        <v>5.3413713963465524E-2</v>
      </c>
    </row>
    <row r="14" spans="1:13" x14ac:dyDescent="0.25">
      <c r="A14">
        <v>0.46100000000000002</v>
      </c>
      <c r="B14">
        <v>4.0599999999999997E-2</v>
      </c>
      <c r="C14">
        <v>3.5099999999999999E-2</v>
      </c>
      <c r="D14">
        <v>0.53200000000000003</v>
      </c>
      <c r="I14" s="1">
        <f>B14*General!$C$4*$G$2^2*General!$C$3^4</f>
        <v>0.32593936839206117</v>
      </c>
      <c r="J14" s="1">
        <f>C14*General!$C$4*$G$2^3*General!$C$3^5</f>
        <v>19.638850453529297</v>
      </c>
      <c r="K14">
        <f t="shared" si="0"/>
        <v>3.7372899079175348E-2</v>
      </c>
      <c r="L14" s="2">
        <f>I14*General!$C$7*General!$C$8</f>
        <v>1.449850549984238</v>
      </c>
      <c r="M14" s="2">
        <f>K14*General!$C$7*General!$C$8*General!$C$8</f>
        <v>5.0670847570747017E-2</v>
      </c>
    </row>
    <row r="15" spans="1:13" x14ac:dyDescent="0.25">
      <c r="A15">
        <v>0.48699999999999999</v>
      </c>
      <c r="B15">
        <v>3.4200000000000001E-2</v>
      </c>
      <c r="C15">
        <v>3.3399999999999999E-2</v>
      </c>
      <c r="D15">
        <v>0.499</v>
      </c>
      <c r="I15" s="1">
        <f>B15*General!$C$4*$G$2^2*General!$C$3^4</f>
        <v>0.27455976352237665</v>
      </c>
      <c r="J15" s="1">
        <f>C15*General!$C$4*$G$2^3*General!$C$3^5</f>
        <v>18.687681058344118</v>
      </c>
      <c r="K15">
        <f t="shared" si="0"/>
        <v>3.5562815647990215E-2</v>
      </c>
      <c r="L15" s="2">
        <f>I15*General!$C$7*General!$C$8</f>
        <v>1.2213026800359839</v>
      </c>
      <c r="M15" s="2">
        <f>K15*General!$C$7*General!$C$8*General!$C$8</f>
        <v>4.8216703956209417E-2</v>
      </c>
    </row>
    <row r="16" spans="1:13" x14ac:dyDescent="0.25">
      <c r="A16">
        <v>0.52</v>
      </c>
      <c r="B16">
        <v>2.58E-2</v>
      </c>
      <c r="C16">
        <v>3.1199999999999999E-2</v>
      </c>
      <c r="D16">
        <v>0.43</v>
      </c>
      <c r="I16" s="1">
        <f>B16*General!$C$4*$G$2^2*General!$C$3^4</f>
        <v>0.20712403213091576</v>
      </c>
      <c r="J16" s="1">
        <f>C16*General!$C$4*$G$2^3*General!$C$3^5</f>
        <v>17.45675595869271</v>
      </c>
      <c r="K16">
        <f t="shared" si="0"/>
        <v>3.3220354737044752E-2</v>
      </c>
      <c r="L16" s="2">
        <f>I16*General!$C$7*General!$C$8</f>
        <v>0.92133360072890025</v>
      </c>
      <c r="M16" s="2">
        <f>K16*General!$C$7*General!$C$8*General!$C$8</f>
        <v>4.5040753396219567E-2</v>
      </c>
    </row>
    <row r="17" spans="1:13" x14ac:dyDescent="0.25">
      <c r="A17">
        <v>0.54800000000000004</v>
      </c>
      <c r="B17">
        <v>1.8200000000000001E-2</v>
      </c>
      <c r="C17">
        <v>2.9100000000000001E-2</v>
      </c>
      <c r="D17">
        <v>0.34200000000000003</v>
      </c>
      <c r="I17" s="1">
        <f>B17*General!$C$4*$G$2^2*General!$C$3^4</f>
        <v>0.14611075134816537</v>
      </c>
      <c r="J17" s="1">
        <f>C17*General!$C$4*$G$2^3*General!$C$3^5</f>
        <v>16.281781999934548</v>
      </c>
      <c r="K17">
        <f t="shared" si="0"/>
        <v>3.0984369322051359E-2</v>
      </c>
      <c r="L17" s="2">
        <f>I17*General!$C$7*General!$C$8</f>
        <v>0.64993300516534824</v>
      </c>
      <c r="M17" s="2">
        <f>K17*General!$C$7*General!$C$8*General!$C$8</f>
        <v>4.2009164225320181E-2</v>
      </c>
    </row>
    <row r="18" spans="1:13" x14ac:dyDescent="0.25">
      <c r="A18">
        <v>0.57599999999999996</v>
      </c>
      <c r="B18">
        <v>0.01</v>
      </c>
      <c r="C18">
        <v>2.6800000000000001E-2</v>
      </c>
      <c r="D18">
        <v>0.215</v>
      </c>
      <c r="I18" s="1">
        <f>B18*General!$C$4*$G$2^2*General!$C$3^4</f>
        <v>8.0280632608882074E-2</v>
      </c>
      <c r="J18" s="1">
        <f>C18*General!$C$4*$G$2^3*General!$C$3^5</f>
        <v>14.994905759389896</v>
      </c>
      <c r="K18">
        <f t="shared" si="0"/>
        <v>2.8535432915153834E-2</v>
      </c>
      <c r="L18" s="2">
        <f>I18*General!$C$7*General!$C$8</f>
        <v>0.35710604679414737</v>
      </c>
      <c r="M18" s="2">
        <f>K18*General!$C$7*General!$C$8*General!$C$8</f>
        <v>3.8688852276239902E-2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M18"/>
  <sheetViews>
    <sheetView workbookViewId="0">
      <selection activeCell="L18" sqref="L18:M18"/>
    </sheetView>
  </sheetViews>
  <sheetFormatPr defaultRowHeight="15" x14ac:dyDescent="0.25"/>
  <cols>
    <col min="1" max="1" width="6" bestFit="1" customWidth="1"/>
    <col min="2" max="2" width="7.7109375" bestFit="1" customWidth="1"/>
    <col min="3" max="3" width="7" bestFit="1" customWidth="1"/>
    <col min="4" max="4" width="6.710937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F1" t="s">
        <v>10</v>
      </c>
      <c r="G1">
        <v>6020</v>
      </c>
      <c r="I1" s="1" t="s">
        <v>7</v>
      </c>
      <c r="J1" s="1" t="s">
        <v>8</v>
      </c>
      <c r="K1" t="s">
        <v>9</v>
      </c>
      <c r="L1" s="2" t="s">
        <v>24</v>
      </c>
      <c r="M1" s="2" t="s">
        <v>25</v>
      </c>
    </row>
    <row r="2" spans="1:13" x14ac:dyDescent="0.25">
      <c r="A2">
        <v>0.40799999999999997</v>
      </c>
      <c r="B2">
        <v>5.5300000000000002E-2</v>
      </c>
      <c r="C2">
        <v>3.9699999999999999E-2</v>
      </c>
      <c r="D2">
        <v>0.56899999999999995</v>
      </c>
      <c r="F2" t="s">
        <v>4</v>
      </c>
      <c r="G2">
        <f>G1/60</f>
        <v>100.33333333333333</v>
      </c>
      <c r="I2" s="1">
        <f>B2*General!$C$4*$G$2^2*General!$C$3^4</f>
        <v>0.63895104670353242</v>
      </c>
      <c r="J2" s="1">
        <f>C2*General!$C$4*$G$2^3*General!$C$3^5</f>
        <v>38.352789445414913</v>
      </c>
      <c r="K2">
        <f>J2/2/PI()/$G$2</f>
        <v>6.0837568321599221E-2</v>
      </c>
      <c r="L2" s="2">
        <f>I2*General!$C$7*General!$C$8</f>
        <v>2.8421958692691778</v>
      </c>
      <c r="M2" s="2">
        <f>K2*General!$C$7*General!$C$8*General!$C$8</f>
        <v>8.248466741817137E-2</v>
      </c>
    </row>
    <row r="3" spans="1:13" x14ac:dyDescent="0.25">
      <c r="A3">
        <v>0.433</v>
      </c>
      <c r="B3">
        <v>0.05</v>
      </c>
      <c r="C3">
        <v>3.8300000000000001E-2</v>
      </c>
      <c r="D3">
        <v>0.56399999999999995</v>
      </c>
      <c r="I3" s="1">
        <f>B3*General!$C$4*$G$2^2*General!$C$3^4</f>
        <v>0.57771342378257917</v>
      </c>
      <c r="J3" s="1">
        <f>C3*General!$C$4*$G$2^3*General!$C$3^5</f>
        <v>37.000298129959475</v>
      </c>
      <c r="K3">
        <f t="shared" ref="K3:K17" si="0">J3/2/PI()/$G$2</f>
        <v>5.8692162889603279E-2</v>
      </c>
      <c r="L3" s="2">
        <f>I3*General!$C$7*General!$C$8</f>
        <v>2.5697973501529643</v>
      </c>
      <c r="M3" s="2">
        <f>K3*General!$C$7*General!$C$8*General!$C$8</f>
        <v>7.9575888214507895E-2</v>
      </c>
    </row>
    <row r="4" spans="1:13" x14ac:dyDescent="0.25">
      <c r="A4">
        <v>0.45800000000000002</v>
      </c>
      <c r="B4">
        <v>4.3799999999999999E-2</v>
      </c>
      <c r="C4">
        <v>3.6600000000000001E-2</v>
      </c>
      <c r="D4">
        <v>0.54900000000000004</v>
      </c>
      <c r="I4" s="1">
        <f>B4*General!$C$4*$G$2^2*General!$C$3^4</f>
        <v>0.50607695923353924</v>
      </c>
      <c r="J4" s="1">
        <f>C4*General!$C$4*$G$2^3*General!$C$3^5</f>
        <v>35.357987246906447</v>
      </c>
      <c r="K4">
        <f t="shared" si="0"/>
        <v>5.608702772217964E-2</v>
      </c>
      <c r="L4" s="2">
        <f>I4*General!$C$7*General!$C$8</f>
        <v>2.2511424787339962</v>
      </c>
      <c r="M4" s="2">
        <f>K4*General!$C$7*General!$C$8*General!$C$8</f>
        <v>7.6043799181487973E-2</v>
      </c>
    </row>
    <row r="5" spans="1:13" x14ac:dyDescent="0.25">
      <c r="A5">
        <v>0.48</v>
      </c>
      <c r="B5">
        <v>3.85E-2</v>
      </c>
      <c r="C5">
        <v>3.5099999999999999E-2</v>
      </c>
      <c r="D5">
        <v>0.52800000000000002</v>
      </c>
      <c r="I5" s="1">
        <f>B5*General!$C$4*$G$2^2*General!$C$3^4</f>
        <v>0.44483933631258582</v>
      </c>
      <c r="J5" s="1">
        <f>C5*General!$C$4*$G$2^3*General!$C$3^5</f>
        <v>33.908889408918476</v>
      </c>
      <c r="K5">
        <f t="shared" si="0"/>
        <v>5.3788379045041128E-2</v>
      </c>
      <c r="L5" s="2">
        <f>I5*General!$C$7*General!$C$8</f>
        <v>1.9787439596177816</v>
      </c>
      <c r="M5" s="2">
        <f>K5*General!$C$7*General!$C$8*General!$C$8</f>
        <v>7.2927250034705682E-2</v>
      </c>
    </row>
    <row r="6" spans="1:13" x14ac:dyDescent="0.25">
      <c r="A6">
        <v>0.50800000000000001</v>
      </c>
      <c r="B6">
        <v>3.1399999999999997E-2</v>
      </c>
      <c r="C6">
        <v>3.3099999999999997E-2</v>
      </c>
      <c r="D6">
        <v>0.48299999999999998</v>
      </c>
      <c r="I6" s="1">
        <f>B6*General!$C$4*$G$2^2*General!$C$3^4</f>
        <v>0.36280403013545964</v>
      </c>
      <c r="J6" s="1">
        <f>C6*General!$C$4*$G$2^3*General!$C$3^5</f>
        <v>31.976758958267851</v>
      </c>
      <c r="K6">
        <f t="shared" si="0"/>
        <v>5.0723514142189778E-2</v>
      </c>
      <c r="L6" s="2">
        <f>I6*General!$C$7*General!$C$8</f>
        <v>1.6138327358960611</v>
      </c>
      <c r="M6" s="2">
        <f>K6*General!$C$7*General!$C$8*General!$C$8</f>
        <v>6.8771851172329285E-2</v>
      </c>
    </row>
    <row r="7" spans="1:13" x14ac:dyDescent="0.25">
      <c r="A7">
        <v>0.52900000000000003</v>
      </c>
      <c r="B7">
        <v>2.58E-2</v>
      </c>
      <c r="C7">
        <v>3.15E-2</v>
      </c>
      <c r="D7">
        <v>0.433</v>
      </c>
      <c r="I7" s="1">
        <f>B7*General!$C$4*$G$2^2*General!$C$3^4</f>
        <v>0.29810012667181085</v>
      </c>
      <c r="J7" s="1">
        <f>C7*General!$C$4*$G$2^3*General!$C$3^5</f>
        <v>30.431054597747355</v>
      </c>
      <c r="K7">
        <f t="shared" si="0"/>
        <v>4.8271622219908716E-2</v>
      </c>
      <c r="L7" s="2">
        <f>I7*General!$C$7*General!$C$8</f>
        <v>1.3260154326789295</v>
      </c>
      <c r="M7" s="2">
        <f>K7*General!$C$7*General!$C$8*General!$C$8</f>
        <v>6.5447532082428192E-2</v>
      </c>
    </row>
    <row r="8" spans="1:13" x14ac:dyDescent="0.25">
      <c r="A8">
        <v>0.55200000000000005</v>
      </c>
      <c r="B8">
        <v>1.95E-2</v>
      </c>
      <c r="C8">
        <v>2.9700000000000001E-2</v>
      </c>
      <c r="D8">
        <v>0.36099999999999999</v>
      </c>
      <c r="I8" s="1">
        <f>B8*General!$C$4*$G$2^2*General!$C$3^4</f>
        <v>0.22530823527520583</v>
      </c>
      <c r="J8" s="1">
        <f>C8*General!$C$4*$G$2^3*General!$C$3^5</f>
        <v>28.692137192161788</v>
      </c>
      <c r="K8">
        <f t="shared" si="0"/>
        <v>4.5513243807342493E-2</v>
      </c>
      <c r="L8" s="2">
        <f>I8*General!$C$7*General!$C$8</f>
        <v>1.0022209665596558</v>
      </c>
      <c r="M8" s="2">
        <f>K8*General!$C$7*General!$C$8*General!$C$8</f>
        <v>6.1707673106289419E-2</v>
      </c>
    </row>
    <row r="9" spans="1:13" x14ac:dyDescent="0.25">
      <c r="A9">
        <v>0.57499999999999996</v>
      </c>
      <c r="B9">
        <v>1.2800000000000001E-2</v>
      </c>
      <c r="C9">
        <v>2.7900000000000001E-2</v>
      </c>
      <c r="D9">
        <v>0.26500000000000001</v>
      </c>
      <c r="I9" s="1">
        <f>B9*General!$C$4*$G$2^2*General!$C$3^4</f>
        <v>0.14789463648834025</v>
      </c>
      <c r="J9" s="1">
        <f>C9*General!$C$4*$G$2^3*General!$C$3^5</f>
        <v>26.953219786576227</v>
      </c>
      <c r="K9">
        <f t="shared" si="0"/>
        <v>4.2754865394776284E-2</v>
      </c>
      <c r="L9" s="2">
        <f>I9*General!$C$7*General!$C$8</f>
        <v>0.65786812163915875</v>
      </c>
      <c r="M9" s="2">
        <f>K9*General!$C$7*General!$C$8*General!$C$8</f>
        <v>5.7967814130150674E-2</v>
      </c>
    </row>
    <row r="10" spans="1:13" x14ac:dyDescent="0.25">
      <c r="A10">
        <v>0.60199999999999998</v>
      </c>
      <c r="B10">
        <v>4.5999999999999999E-3</v>
      </c>
      <c r="C10">
        <v>2.5399999999999999E-2</v>
      </c>
      <c r="D10">
        <v>0.11</v>
      </c>
      <c r="I10" s="1">
        <f>B10*General!$C$4*$G$2^2*General!$C$3^4</f>
        <v>5.3149634987997275E-2</v>
      </c>
      <c r="J10" s="1">
        <f>C10*General!$C$4*$G$2^3*General!$C$3^5</f>
        <v>24.538056723262944</v>
      </c>
      <c r="K10">
        <f t="shared" si="0"/>
        <v>3.8923784266212097E-2</v>
      </c>
      <c r="L10" s="2">
        <f>I10*General!$C$7*General!$C$8</f>
        <v>0.23642135621407268</v>
      </c>
      <c r="M10" s="2">
        <f>K10*General!$C$7*General!$C$8*General!$C$8</f>
        <v>5.2773565552180178E-2</v>
      </c>
    </row>
    <row r="11" spans="1:13" x14ac:dyDescent="0.25">
      <c r="A11">
        <v>0.623</v>
      </c>
      <c r="B11">
        <v>-1.9E-3</v>
      </c>
      <c r="C11">
        <v>2.3400000000000001E-2</v>
      </c>
      <c r="D11">
        <v>-5.1999999999999998E-2</v>
      </c>
      <c r="I11" s="1">
        <f>B11*General!$C$4*$G$2^2*General!$C$3^4</f>
        <v>-2.1953110103738002E-2</v>
      </c>
      <c r="J11" s="1">
        <f>C11*General!$C$4*$G$2^3*General!$C$3^5</f>
        <v>22.605926272612319</v>
      </c>
      <c r="K11">
        <f t="shared" si="0"/>
        <v>3.5858919363360747E-2</v>
      </c>
      <c r="L11" s="2">
        <f>I11*General!$C$7*General!$C$8</f>
        <v>-9.7652299305812609E-2</v>
      </c>
      <c r="M11" s="2">
        <f>K11*General!$C$7*General!$C$8*General!$C$8</f>
        <v>4.8618166689803774E-2</v>
      </c>
    </row>
    <row r="12" spans="1:13" x14ac:dyDescent="0.25">
      <c r="A12">
        <v>0.65200000000000002</v>
      </c>
      <c r="B12">
        <v>-1.0999999999999999E-2</v>
      </c>
      <c r="C12">
        <v>2.07E-2</v>
      </c>
      <c r="D12">
        <v>-0.34699999999999998</v>
      </c>
      <c r="I12" s="1">
        <f>B12*General!$C$4*$G$2^2*General!$C$3^4</f>
        <v>-0.12709695323216738</v>
      </c>
      <c r="J12" s="1">
        <f>C12*General!$C$4*$G$2^3*General!$C$3^5</f>
        <v>19.997550164233974</v>
      </c>
      <c r="K12">
        <f t="shared" si="0"/>
        <v>3.1721351744511433E-2</v>
      </c>
      <c r="L12" s="2">
        <f>I12*General!$C$7*General!$C$8</f>
        <v>-0.565355417033652</v>
      </c>
      <c r="M12" s="2">
        <f>K12*General!$C$7*General!$C$8*General!$C$8</f>
        <v>4.300837822559566E-2</v>
      </c>
    </row>
    <row r="13" spans="1:13" x14ac:dyDescent="0.25">
      <c r="A13">
        <v>0.67200000000000004</v>
      </c>
      <c r="B13">
        <v>-1.7100000000000001E-2</v>
      </c>
      <c r="C13">
        <v>1.89E-2</v>
      </c>
      <c r="D13">
        <v>-0.61</v>
      </c>
      <c r="I13" s="1">
        <f>B13*General!$C$4*$G$2^2*General!$C$3^4</f>
        <v>-0.19757799093364203</v>
      </c>
      <c r="J13" s="1">
        <f>C13*General!$C$4*$G$2^3*General!$C$3^5</f>
        <v>18.258632758648414</v>
      </c>
      <c r="K13">
        <f t="shared" si="0"/>
        <v>2.8962973331945228E-2</v>
      </c>
      <c r="L13" s="2">
        <f>I13*General!$C$7*General!$C$8</f>
        <v>-0.87887069375231353</v>
      </c>
      <c r="M13" s="2">
        <f>K13*General!$C$7*General!$C$8*General!$C$8</f>
        <v>3.9268519249456915E-2</v>
      </c>
    </row>
    <row r="14" spans="1:13" x14ac:dyDescent="0.25">
      <c r="A14">
        <v>0.70099999999999996</v>
      </c>
      <c r="B14">
        <v>-2.6499999999999999E-2</v>
      </c>
      <c r="C14">
        <v>1.6E-2</v>
      </c>
      <c r="D14">
        <v>-1.1619999999999999</v>
      </c>
      <c r="I14" s="1">
        <f>B14*General!$C$4*$G$2^2*General!$C$3^4</f>
        <v>-0.30618811460476686</v>
      </c>
      <c r="J14" s="1">
        <f>C14*General!$C$4*$G$2^3*General!$C$3^5</f>
        <v>15.457043605205005</v>
      </c>
      <c r="K14">
        <f t="shared" si="0"/>
        <v>2.451891922281077E-2</v>
      </c>
      <c r="L14" s="2">
        <f>I14*General!$C$7*General!$C$8</f>
        <v>-1.3619925955810706</v>
      </c>
      <c r="M14" s="2">
        <f>K14*General!$C$7*General!$C$8*General!$C$8</f>
        <v>3.3243190899011135E-2</v>
      </c>
    </row>
    <row r="15" spans="1:13" x14ac:dyDescent="0.25">
      <c r="A15">
        <v>0.72</v>
      </c>
      <c r="B15">
        <v>-3.2500000000000001E-2</v>
      </c>
      <c r="C15">
        <v>1.41E-2</v>
      </c>
      <c r="D15">
        <v>-1.659</v>
      </c>
      <c r="I15" s="1">
        <f>B15*General!$C$4*$G$2^2*General!$C$3^4</f>
        <v>-0.37551372545867645</v>
      </c>
      <c r="J15" s="1">
        <f>C15*General!$C$4*$G$2^3*General!$C$3^5</f>
        <v>13.62151967708691</v>
      </c>
      <c r="K15">
        <f t="shared" si="0"/>
        <v>2.1607297565101994E-2</v>
      </c>
      <c r="L15" s="2">
        <f>I15*General!$C$7*General!$C$8</f>
        <v>-1.6703682775994266</v>
      </c>
      <c r="M15" s="2">
        <f>K15*General!$C$7*General!$C$8*General!$C$8</f>
        <v>2.9295561979753568E-2</v>
      </c>
    </row>
    <row r="16" spans="1:13" x14ac:dyDescent="0.25">
      <c r="A16">
        <v>0.749</v>
      </c>
      <c r="B16">
        <v>-4.2099999999999999E-2</v>
      </c>
      <c r="C16">
        <v>1.12E-2</v>
      </c>
      <c r="D16">
        <v>-2.8220000000000001</v>
      </c>
      <c r="I16" s="1">
        <f>B16*General!$C$4*$G$2^2*General!$C$3^4</f>
        <v>-0.48643470282493162</v>
      </c>
      <c r="J16" s="1">
        <f>C16*General!$C$4*$G$2^3*General!$C$3^5</f>
        <v>10.819930523643501</v>
      </c>
      <c r="K16">
        <f t="shared" si="0"/>
        <v>1.7163243455967536E-2</v>
      </c>
      <c r="L16" s="2">
        <f>I16*General!$C$7*General!$C$8</f>
        <v>-2.1637693688287958</v>
      </c>
      <c r="M16" s="2">
        <f>K16*General!$C$7*General!$C$8*General!$C$8</f>
        <v>2.3270233629307791E-2</v>
      </c>
    </row>
    <row r="17" spans="1:13" x14ac:dyDescent="0.25">
      <c r="A17">
        <v>0.77500000000000002</v>
      </c>
      <c r="B17">
        <v>-5.1200000000000002E-2</v>
      </c>
      <c r="C17">
        <v>8.5000000000000006E-3</v>
      </c>
      <c r="D17">
        <v>-4.6849999999999996</v>
      </c>
      <c r="I17" s="1">
        <f>B17*General!$C$4*$G$2^2*General!$C$3^4</f>
        <v>-0.59157854595336101</v>
      </c>
      <c r="J17" s="1">
        <f>C17*General!$C$4*$G$2^3*General!$C$3^5</f>
        <v>8.2115544152651587</v>
      </c>
      <c r="K17">
        <f t="shared" si="0"/>
        <v>1.3025675837118224E-2</v>
      </c>
      <c r="L17" s="2">
        <f>I17*General!$C$7*General!$C$8</f>
        <v>-2.631472486556635</v>
      </c>
      <c r="M17" s="2">
        <f>K17*General!$C$7*General!$C$8*General!$C$8</f>
        <v>1.7660445165099667E-2</v>
      </c>
    </row>
    <row r="18" spans="1:13" x14ac:dyDescent="0.25">
      <c r="I18" s="1"/>
      <c r="J18" s="1"/>
      <c r="L18" s="2"/>
      <c r="M1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M18"/>
  <sheetViews>
    <sheetView workbookViewId="0">
      <selection activeCell="L1" sqref="L1:M18"/>
    </sheetView>
  </sheetViews>
  <sheetFormatPr defaultRowHeight="15" x14ac:dyDescent="0.25"/>
  <cols>
    <col min="1" max="1" width="6" bestFit="1" customWidth="1"/>
    <col min="2" max="3" width="7" bestFit="1" customWidth="1"/>
    <col min="4" max="4" width="6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F1" t="s">
        <v>10</v>
      </c>
      <c r="G1">
        <v>6023</v>
      </c>
      <c r="I1" s="1" t="s">
        <v>7</v>
      </c>
      <c r="J1" s="1" t="s">
        <v>8</v>
      </c>
      <c r="K1" t="s">
        <v>9</v>
      </c>
      <c r="L1" s="2" t="s">
        <v>24</v>
      </c>
      <c r="M1" s="2" t="s">
        <v>25</v>
      </c>
    </row>
    <row r="2" spans="1:13" x14ac:dyDescent="0.25">
      <c r="A2">
        <v>9.5000000000000001E-2</v>
      </c>
      <c r="B2">
        <v>0.114</v>
      </c>
      <c r="C2">
        <v>5.11E-2</v>
      </c>
      <c r="D2">
        <v>0.21099999999999999</v>
      </c>
      <c r="F2" t="s">
        <v>4</v>
      </c>
      <c r="G2">
        <f>G1/60</f>
        <v>100.38333333333334</v>
      </c>
      <c r="I2" s="1">
        <f>B2*General!$C$4*$G$2^2*General!$C$3^4</f>
        <v>1.3184997439075368</v>
      </c>
      <c r="J2" s="1">
        <f>C2*General!$C$4*$G$2^3*General!$C$3^5</f>
        <v>49.439772688969946</v>
      </c>
      <c r="K2">
        <f>J2/2/PI()/$G$2</f>
        <v>7.8385364855944731E-2</v>
      </c>
      <c r="L2" s="2">
        <f>I2*General!$C$7*General!$C$8</f>
        <v>5.864979085800365</v>
      </c>
      <c r="M2" s="2">
        <f>K2*General!$C$7*General!$C$8*General!$C$8</f>
        <v>0.10627628501547348</v>
      </c>
    </row>
    <row r="3" spans="1:13" x14ac:dyDescent="0.25">
      <c r="A3">
        <v>0.121</v>
      </c>
      <c r="B3">
        <v>0.11</v>
      </c>
      <c r="C3">
        <v>5.0700000000000002E-2</v>
      </c>
      <c r="D3">
        <v>0.26200000000000001</v>
      </c>
      <c r="I3" s="1">
        <f>B3*General!$C$4*$G$2^2*General!$C$3^4</f>
        <v>1.2722365949985004</v>
      </c>
      <c r="J3" s="1">
        <f>C3*General!$C$4*$G$2^3*General!$C$3^5</f>
        <v>49.052768597471157</v>
      </c>
      <c r="K3">
        <f t="shared" ref="K3:K18" si="0">J3/2/PI()/$G$2</f>
        <v>7.7771780786622266E-2</v>
      </c>
      <c r="L3" s="2">
        <f>I3*General!$C$7*General!$C$8</f>
        <v>5.6591903459477209</v>
      </c>
      <c r="M3" s="2">
        <f>K3*General!$C$7*General!$C$8*General!$C$8</f>
        <v>0.10544437671789639</v>
      </c>
    </row>
    <row r="4" spans="1:13" x14ac:dyDescent="0.25">
      <c r="A4">
        <v>0.14599999999999999</v>
      </c>
      <c r="B4">
        <v>0.1052</v>
      </c>
      <c r="C4">
        <v>4.9799999999999997E-2</v>
      </c>
      <c r="D4">
        <v>0.308</v>
      </c>
      <c r="I4" s="1">
        <f>B4*General!$C$4*$G$2^2*General!$C$3^4</f>
        <v>1.2167208163076566</v>
      </c>
      <c r="J4" s="1">
        <f>C4*General!$C$4*$G$2^3*General!$C$3^5</f>
        <v>48.182009391598889</v>
      </c>
      <c r="K4">
        <f t="shared" si="0"/>
        <v>7.6391216630646727E-2</v>
      </c>
      <c r="L4" s="2">
        <f>I4*General!$C$7*General!$C$8</f>
        <v>5.4122438581245467</v>
      </c>
      <c r="M4" s="2">
        <f>K4*General!$C$7*General!$C$8*General!$C$8</f>
        <v>0.10357258304834795</v>
      </c>
    </row>
    <row r="5" spans="1:13" x14ac:dyDescent="0.25">
      <c r="A5">
        <v>0.16900000000000001</v>
      </c>
      <c r="B5">
        <v>0.1011</v>
      </c>
      <c r="C5">
        <v>4.9099999999999998E-2</v>
      </c>
      <c r="D5">
        <v>0.34699999999999998</v>
      </c>
      <c r="I5" s="1">
        <f>B5*General!$C$4*$G$2^2*General!$C$3^4</f>
        <v>1.1693010886758943</v>
      </c>
      <c r="J5" s="1">
        <f>C5*General!$C$4*$G$2^3*General!$C$3^5</f>
        <v>47.504752231476012</v>
      </c>
      <c r="K5">
        <f t="shared" si="0"/>
        <v>7.5317444509332421E-2</v>
      </c>
      <c r="L5" s="2">
        <f>I5*General!$C$7*General!$C$8</f>
        <v>5.2013103997755863</v>
      </c>
      <c r="M5" s="2">
        <f>K5*General!$C$7*General!$C$8*General!$C$8</f>
        <v>0.10211674352758802</v>
      </c>
    </row>
    <row r="6" spans="1:13" x14ac:dyDescent="0.25">
      <c r="A6">
        <v>0.192</v>
      </c>
      <c r="B6">
        <v>9.69E-2</v>
      </c>
      <c r="C6">
        <v>4.8399999999999999E-2</v>
      </c>
      <c r="D6">
        <v>0.38400000000000001</v>
      </c>
      <c r="I6" s="1">
        <f>B6*General!$C$4*$G$2^2*General!$C$3^4</f>
        <v>1.1207247823214062</v>
      </c>
      <c r="J6" s="1">
        <f>C6*General!$C$4*$G$2^3*General!$C$3^5</f>
        <v>46.827495071353134</v>
      </c>
      <c r="K6">
        <f t="shared" si="0"/>
        <v>7.42436723880181E-2</v>
      </c>
      <c r="L6" s="2">
        <f>I6*General!$C$7*General!$C$8</f>
        <v>4.9852322229303097</v>
      </c>
      <c r="M6" s="2">
        <f>K6*General!$C$7*General!$C$8*General!$C$8</f>
        <v>0.10066090400682812</v>
      </c>
    </row>
    <row r="7" spans="1:13" x14ac:dyDescent="0.25">
      <c r="A7">
        <v>0.217</v>
      </c>
      <c r="B7">
        <v>9.2200000000000004E-2</v>
      </c>
      <c r="C7">
        <v>4.7500000000000001E-2</v>
      </c>
      <c r="D7">
        <v>0.42199999999999999</v>
      </c>
      <c r="I7" s="1">
        <f>B7*General!$C$4*$G$2^2*General!$C$3^4</f>
        <v>1.0663655823532885</v>
      </c>
      <c r="J7" s="1">
        <f>C7*General!$C$4*$G$2^3*General!$C$3^5</f>
        <v>45.956735865480866</v>
      </c>
      <c r="K7">
        <f t="shared" si="0"/>
        <v>7.2863108232042562E-2</v>
      </c>
      <c r="L7" s="2">
        <f>I7*General!$C$7*General!$C$8</f>
        <v>4.7434304536034526</v>
      </c>
      <c r="M7" s="2">
        <f>K7*General!$C$7*General!$C$8*General!$C$8</f>
        <v>9.8789110337279662E-2</v>
      </c>
    </row>
    <row r="8" spans="1:13" x14ac:dyDescent="0.25">
      <c r="A8">
        <v>0.24</v>
      </c>
      <c r="B8">
        <v>8.8599999999999998E-2</v>
      </c>
      <c r="C8">
        <v>4.6899999999999997E-2</v>
      </c>
      <c r="D8">
        <v>0.45400000000000001</v>
      </c>
      <c r="I8" s="1">
        <f>B8*General!$C$4*$G$2^2*General!$C$3^4</f>
        <v>1.0247287483351557</v>
      </c>
      <c r="J8" s="1">
        <f>C8*General!$C$4*$G$2^3*General!$C$3^5</f>
        <v>45.376229728232687</v>
      </c>
      <c r="K8">
        <f t="shared" si="0"/>
        <v>7.1942732128058864E-2</v>
      </c>
      <c r="L8" s="2">
        <f>I8*General!$C$7*General!$C$8</f>
        <v>4.5582205877360726</v>
      </c>
      <c r="M8" s="2">
        <f>K8*General!$C$7*General!$C$8*General!$C$8</f>
        <v>9.7541247890914035E-2</v>
      </c>
    </row>
    <row r="9" spans="1:13" x14ac:dyDescent="0.25">
      <c r="A9">
        <v>0.26700000000000002</v>
      </c>
      <c r="B9">
        <v>8.3500000000000005E-2</v>
      </c>
      <c r="C9">
        <v>4.5900000000000003E-2</v>
      </c>
      <c r="D9">
        <v>0.48599999999999999</v>
      </c>
      <c r="I9" s="1">
        <f>B9*General!$C$4*$G$2^2*General!$C$3^4</f>
        <v>0.96574323347613433</v>
      </c>
      <c r="J9" s="1">
        <f>C9*General!$C$4*$G$2^3*General!$C$3^5</f>
        <v>44.408719499485727</v>
      </c>
      <c r="K9">
        <f t="shared" si="0"/>
        <v>7.0408771954752716E-2</v>
      </c>
      <c r="L9" s="2">
        <f>I9*General!$C$7*General!$C$8</f>
        <v>4.2958399444239506</v>
      </c>
      <c r="M9" s="2">
        <f>K9*General!$C$7*General!$C$8*General!$C$8</f>
        <v>9.5461477146971313E-2</v>
      </c>
    </row>
    <row r="10" spans="1:13" x14ac:dyDescent="0.25">
      <c r="A10">
        <v>0.28999999999999998</v>
      </c>
      <c r="B10">
        <v>7.9500000000000001E-2</v>
      </c>
      <c r="C10">
        <v>4.5199999999999997E-2</v>
      </c>
      <c r="D10">
        <v>0.51</v>
      </c>
      <c r="I10" s="1">
        <f>B10*General!$C$4*$G$2^2*General!$C$3^4</f>
        <v>0.91948008456709795</v>
      </c>
      <c r="J10" s="1">
        <f>C10*General!$C$4*$G$2^3*General!$C$3^5</f>
        <v>43.731462339362842</v>
      </c>
      <c r="K10">
        <f t="shared" si="0"/>
        <v>6.9334999833438382E-2</v>
      </c>
      <c r="L10" s="2">
        <f>I10*General!$C$7*General!$C$8</f>
        <v>4.0900512045713064</v>
      </c>
      <c r="M10" s="2">
        <f>K10*General!$C$7*General!$C$8*General!$C$8</f>
        <v>9.4005637626211364E-2</v>
      </c>
    </row>
    <row r="11" spans="1:13" x14ac:dyDescent="0.25">
      <c r="A11">
        <v>0.316</v>
      </c>
      <c r="B11">
        <v>7.4999999999999997E-2</v>
      </c>
      <c r="C11">
        <v>4.4400000000000002E-2</v>
      </c>
      <c r="D11">
        <v>0.53300000000000003</v>
      </c>
      <c r="I11" s="1">
        <f>B11*General!$C$4*$G$2^2*General!$C$3^4</f>
        <v>0.86743404204443197</v>
      </c>
      <c r="J11" s="1">
        <f>C11*General!$C$4*$G$2^3*General!$C$3^5</f>
        <v>42.957454156365273</v>
      </c>
      <c r="K11">
        <f t="shared" si="0"/>
        <v>6.8107831694793466E-2</v>
      </c>
      <c r="L11" s="2">
        <f>I11*General!$C$7*General!$C$8</f>
        <v>3.8585388722370815</v>
      </c>
      <c r="M11" s="2">
        <f>K11*General!$C$7*General!$C$8*General!$C$8</f>
        <v>9.2341821031057203E-2</v>
      </c>
    </row>
    <row r="12" spans="1:13" x14ac:dyDescent="0.25">
      <c r="A12">
        <v>0.33400000000000002</v>
      </c>
      <c r="B12">
        <v>7.1400000000000005E-2</v>
      </c>
      <c r="C12">
        <v>4.3799999999999999E-2</v>
      </c>
      <c r="D12">
        <v>0.54600000000000004</v>
      </c>
      <c r="I12" s="1">
        <f>B12*General!$C$4*$G$2^2*General!$C$3^4</f>
        <v>0.82579720802629941</v>
      </c>
      <c r="J12" s="1">
        <f>C12*General!$C$4*$G$2^3*General!$C$3^5</f>
        <v>42.376948019117087</v>
      </c>
      <c r="K12">
        <f t="shared" si="0"/>
        <v>6.7187455590809769E-2</v>
      </c>
      <c r="L12" s="2">
        <f>I12*General!$C$7*General!$C$8</f>
        <v>3.6733290063697024</v>
      </c>
      <c r="M12" s="2">
        <f>K12*General!$C$7*General!$C$8*General!$C$8</f>
        <v>9.1093958584691548E-2</v>
      </c>
    </row>
    <row r="13" spans="1:13" x14ac:dyDescent="0.25">
      <c r="A13">
        <v>0.35799999999999998</v>
      </c>
      <c r="B13">
        <v>6.6500000000000004E-2</v>
      </c>
      <c r="C13">
        <v>4.2700000000000002E-2</v>
      </c>
      <c r="D13">
        <v>0.55800000000000005</v>
      </c>
      <c r="I13" s="1">
        <f>B13*General!$C$4*$G$2^2*General!$C$3^4</f>
        <v>0.76912485061272973</v>
      </c>
      <c r="J13" s="1">
        <f>C13*General!$C$4*$G$2^3*General!$C$3^5</f>
        <v>41.312686767495428</v>
      </c>
      <c r="K13">
        <f t="shared" si="0"/>
        <v>6.5500099400172998E-2</v>
      </c>
      <c r="L13" s="2">
        <f>I13*General!$C$7*General!$C$8</f>
        <v>3.4212378000502124</v>
      </c>
      <c r="M13" s="2">
        <f>K13*General!$C$7*General!$C$8*General!$C$8</f>
        <v>8.8806210766354574E-2</v>
      </c>
    </row>
    <row r="14" spans="1:13" x14ac:dyDescent="0.25">
      <c r="A14">
        <v>0.38100000000000001</v>
      </c>
      <c r="B14">
        <v>6.1800000000000001E-2</v>
      </c>
      <c r="C14">
        <v>4.1599999999999998E-2</v>
      </c>
      <c r="D14">
        <v>0.56599999999999995</v>
      </c>
      <c r="I14" s="1">
        <f>B14*General!$C$4*$G$2^2*General!$C$3^4</f>
        <v>0.71476565064461206</v>
      </c>
      <c r="J14" s="1">
        <f>C14*General!$C$4*$G$2^3*General!$C$3^5</f>
        <v>40.248425515873762</v>
      </c>
      <c r="K14">
        <f t="shared" si="0"/>
        <v>6.3812743209536213E-2</v>
      </c>
      <c r="L14" s="2">
        <f>I14*General!$C$7*General!$C$8</f>
        <v>3.1794360307233558</v>
      </c>
      <c r="M14" s="2">
        <f>K14*General!$C$7*General!$C$8*General!$C$8</f>
        <v>8.651846294801753E-2</v>
      </c>
    </row>
    <row r="15" spans="1:13" x14ac:dyDescent="0.25">
      <c r="A15">
        <v>0.40799999999999997</v>
      </c>
      <c r="B15">
        <v>5.5800000000000002E-2</v>
      </c>
      <c r="C15">
        <v>3.9899999999999998E-2</v>
      </c>
      <c r="D15">
        <v>0.56999999999999995</v>
      </c>
      <c r="I15" s="1">
        <f>B15*General!$C$4*$G$2^2*General!$C$3^4</f>
        <v>0.64537092728105749</v>
      </c>
      <c r="J15" s="1">
        <f>C15*General!$C$4*$G$2^3*General!$C$3^5</f>
        <v>38.603658127003925</v>
      </c>
      <c r="K15">
        <f t="shared" si="0"/>
        <v>6.1205010914915745E-2</v>
      </c>
      <c r="L15" s="2">
        <f>I15*General!$C$7*General!$C$8</f>
        <v>2.8707529209443887</v>
      </c>
      <c r="M15" s="2">
        <f>K15*General!$C$7*General!$C$8*General!$C$8</f>
        <v>8.2982852683314914E-2</v>
      </c>
    </row>
    <row r="16" spans="1:13" x14ac:dyDescent="0.25">
      <c r="A16">
        <v>0.43099999999999999</v>
      </c>
      <c r="B16">
        <v>5.0500000000000003E-2</v>
      </c>
      <c r="C16">
        <v>3.85E-2</v>
      </c>
      <c r="D16">
        <v>0.56599999999999995</v>
      </c>
      <c r="I16" s="1">
        <f>B16*General!$C$4*$G$2^2*General!$C$3^4</f>
        <v>0.58407225497658422</v>
      </c>
      <c r="J16" s="1">
        <f>C16*General!$C$4*$G$2^3*General!$C$3^5</f>
        <v>37.249143806758177</v>
      </c>
      <c r="K16">
        <f t="shared" si="0"/>
        <v>5.9057466672287132E-2</v>
      </c>
      <c r="L16" s="2">
        <f>I16*General!$C$7*General!$C$8</f>
        <v>2.598082840639635</v>
      </c>
      <c r="M16" s="2">
        <f>K16*General!$C$7*General!$C$8*General!$C$8</f>
        <v>8.0071173641795099E-2</v>
      </c>
    </row>
    <row r="17" spans="1:13" x14ac:dyDescent="0.25">
      <c r="A17">
        <v>0.45400000000000001</v>
      </c>
      <c r="B17">
        <v>4.5199999999999997E-2</v>
      </c>
      <c r="C17">
        <v>3.6999999999999998E-2</v>
      </c>
      <c r="D17">
        <v>0.55400000000000005</v>
      </c>
      <c r="I17" s="1">
        <f>B17*General!$C$4*$G$2^2*General!$C$3^4</f>
        <v>0.52277358267211105</v>
      </c>
      <c r="J17" s="1">
        <f>C17*General!$C$4*$G$2^3*General!$C$3^5</f>
        <v>35.79787846363773</v>
      </c>
      <c r="K17">
        <f t="shared" si="0"/>
        <v>5.6756526412327889E-2</v>
      </c>
      <c r="L17" s="2">
        <f>I17*General!$C$7*General!$C$8</f>
        <v>2.3254127603348813</v>
      </c>
      <c r="M17" s="2">
        <f>K17*General!$C$7*General!$C$8*General!$C$8</f>
        <v>7.6951517525881002E-2</v>
      </c>
    </row>
    <row r="18" spans="1:13" x14ac:dyDescent="0.25">
      <c r="A18">
        <v>0.47699999999999998</v>
      </c>
      <c r="B18">
        <v>3.95E-2</v>
      </c>
      <c r="C18">
        <v>3.5400000000000001E-2</v>
      </c>
      <c r="D18">
        <v>0.53300000000000003</v>
      </c>
      <c r="I18" s="1">
        <f>B18*General!$C$4*$G$2^2*General!$C$3^4</f>
        <v>0.45684859547673418</v>
      </c>
      <c r="J18" s="1">
        <f>C18*General!$C$4*$G$2^3*General!$C$3^5</f>
        <v>34.249862097642584</v>
      </c>
      <c r="K18">
        <f t="shared" si="0"/>
        <v>5.4302190135038036E-2</v>
      </c>
      <c r="L18" s="2">
        <f>I18*General!$C$7*General!$C$8</f>
        <v>2.032163806044863</v>
      </c>
      <c r="M18" s="2">
        <f>K18*General!$C$7*General!$C$8*General!$C$8</f>
        <v>7.3623884335572626E-2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M18"/>
  <sheetViews>
    <sheetView workbookViewId="0">
      <selection activeCell="L1" sqref="L1:M18"/>
    </sheetView>
  </sheetViews>
  <sheetFormatPr defaultRowHeight="15" x14ac:dyDescent="0.25"/>
  <cols>
    <col min="1" max="1" width="6" bestFit="1" customWidth="1"/>
    <col min="2" max="3" width="7" bestFit="1" customWidth="1"/>
    <col min="4" max="4" width="6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F1" t="s">
        <v>10</v>
      </c>
      <c r="G1">
        <v>6512</v>
      </c>
      <c r="I1" s="1" t="s">
        <v>7</v>
      </c>
      <c r="J1" s="1" t="s">
        <v>8</v>
      </c>
      <c r="K1" t="s">
        <v>9</v>
      </c>
      <c r="L1" s="2" t="s">
        <v>24</v>
      </c>
      <c r="M1" s="2" t="s">
        <v>25</v>
      </c>
    </row>
    <row r="2" spans="1:13" x14ac:dyDescent="0.25">
      <c r="A2">
        <v>8.8999999999999996E-2</v>
      </c>
      <c r="B2">
        <v>0.1171</v>
      </c>
      <c r="C2">
        <v>5.2299999999999999E-2</v>
      </c>
      <c r="D2">
        <v>0.2</v>
      </c>
      <c r="F2" t="s">
        <v>4</v>
      </c>
      <c r="G2">
        <f>G1/60</f>
        <v>108.53333333333333</v>
      </c>
      <c r="I2" s="1">
        <f>B2*General!$C$4*$G$2^2*General!$C$3^4</f>
        <v>1.5831977024005492</v>
      </c>
      <c r="J2" s="1">
        <f>C2*General!$C$4*$G$2^3*General!$C$3^5</f>
        <v>63.953135236869407</v>
      </c>
      <c r="K2">
        <f>J2/2/PI()/$G$2</f>
        <v>9.3781857486230691E-2</v>
      </c>
      <c r="L2" s="2">
        <f>I2*General!$C$7*General!$C$8</f>
        <v>7.0424142713504958</v>
      </c>
      <c r="M2" s="2">
        <f>K2*General!$C$7*General!$C$8*General!$C$8</f>
        <v>0.12715112615478613</v>
      </c>
    </row>
    <row r="3" spans="1:13" x14ac:dyDescent="0.25">
      <c r="A3">
        <v>0.112</v>
      </c>
      <c r="B3">
        <v>0.1139</v>
      </c>
      <c r="C3">
        <v>5.2200000000000003E-2</v>
      </c>
      <c r="D3">
        <v>0.24399999999999999</v>
      </c>
      <c r="I3" s="1">
        <f>B3*General!$C$4*$G$2^2*General!$C$3^4</f>
        <v>1.5399335465706454</v>
      </c>
      <c r="J3" s="1">
        <f>C3*General!$C$4*$G$2^3*General!$C$3^5</f>
        <v>63.830853907544608</v>
      </c>
      <c r="K3">
        <f t="shared" ref="K3:K18" si="0">J3/2/PI()/$G$2</f>
        <v>9.3602542271151848E-2</v>
      </c>
      <c r="L3" s="2">
        <f>I3*General!$C$7*General!$C$8</f>
        <v>6.8499657173938644</v>
      </c>
      <c r="M3" s="2">
        <f>K3*General!$C$7*General!$C$8*General!$C$8</f>
        <v>0.12690800736672725</v>
      </c>
    </row>
    <row r="4" spans="1:13" x14ac:dyDescent="0.25">
      <c r="A4">
        <v>0.13400000000000001</v>
      </c>
      <c r="B4">
        <v>0.1094</v>
      </c>
      <c r="C4">
        <v>5.1200000000000002E-2</v>
      </c>
      <c r="D4">
        <v>0.28699999999999998</v>
      </c>
      <c r="I4" s="1">
        <f>B4*General!$C$4*$G$2^2*General!$C$3^4</f>
        <v>1.479093327434843</v>
      </c>
      <c r="J4" s="1">
        <f>C4*General!$C$4*$G$2^3*General!$C$3^5</f>
        <v>62.608040614296634</v>
      </c>
      <c r="K4">
        <f t="shared" si="0"/>
        <v>9.1809390120363515E-2</v>
      </c>
      <c r="L4" s="2">
        <f>I4*General!$C$7*General!$C$8</f>
        <v>6.5793349383923525</v>
      </c>
      <c r="M4" s="2">
        <f>K4*General!$C$7*General!$C$8*General!$C$8</f>
        <v>0.12447681948613863</v>
      </c>
    </row>
    <row r="5" spans="1:13" x14ac:dyDescent="0.25">
      <c r="A5">
        <v>0.156</v>
      </c>
      <c r="B5">
        <v>0.10639999999999999</v>
      </c>
      <c r="C5">
        <v>5.11E-2</v>
      </c>
      <c r="D5">
        <v>0.32400000000000001</v>
      </c>
      <c r="I5" s="1">
        <f>B5*General!$C$4*$G$2^2*General!$C$3^4</f>
        <v>1.4385331813443076</v>
      </c>
      <c r="J5" s="1">
        <f>C5*General!$C$4*$G$2^3*General!$C$3^5</f>
        <v>62.485759284971834</v>
      </c>
      <c r="K5">
        <f t="shared" si="0"/>
        <v>9.1630074905284686E-2</v>
      </c>
      <c r="L5" s="2">
        <f>I5*General!$C$7*General!$C$8</f>
        <v>6.3989144190580074</v>
      </c>
      <c r="M5" s="2">
        <f>K5*General!$C$7*General!$C$8*General!$C$8</f>
        <v>0.12423370069807979</v>
      </c>
    </row>
    <row r="6" spans="1:13" x14ac:dyDescent="0.25">
      <c r="A6">
        <v>0.17599999999999999</v>
      </c>
      <c r="B6">
        <v>0.10199999999999999</v>
      </c>
      <c r="C6">
        <v>0.05</v>
      </c>
      <c r="D6">
        <v>0.35899999999999999</v>
      </c>
      <c r="I6" s="1">
        <f>B6*General!$C$4*$G$2^2*General!$C$3^4</f>
        <v>1.3790449670781899</v>
      </c>
      <c r="J6" s="1">
        <f>C6*General!$C$4*$G$2^3*General!$C$3^5</f>
        <v>61.140664662399054</v>
      </c>
      <c r="K6">
        <f t="shared" si="0"/>
        <v>8.9657607539417497E-2</v>
      </c>
      <c r="L6" s="2">
        <f>I6*General!$C$7*General!$C$8</f>
        <v>6.1342976573676404</v>
      </c>
      <c r="M6" s="2">
        <f>K6*General!$C$7*General!$C$8*General!$C$8</f>
        <v>0.12155939402943228</v>
      </c>
    </row>
    <row r="7" spans="1:13" x14ac:dyDescent="0.25">
      <c r="A7">
        <v>0.19900000000000001</v>
      </c>
      <c r="B7">
        <v>9.7799999999999998E-2</v>
      </c>
      <c r="C7">
        <v>4.9299999999999997E-2</v>
      </c>
      <c r="D7">
        <v>0.39400000000000002</v>
      </c>
      <c r="I7" s="1">
        <f>B7*General!$C$4*$G$2^2*General!$C$3^4</f>
        <v>1.3222607625514409</v>
      </c>
      <c r="J7" s="1">
        <f>C7*General!$C$4*$G$2^3*General!$C$3^5</f>
        <v>60.28469535712545</v>
      </c>
      <c r="K7">
        <f t="shared" si="0"/>
        <v>8.8402401033865624E-2</v>
      </c>
      <c r="L7" s="2">
        <f>I7*General!$C$7*General!$C$8</f>
        <v>5.8817089302995607</v>
      </c>
      <c r="M7" s="2">
        <f>K7*General!$C$7*General!$C$8*General!$C$8</f>
        <v>0.11985756251302018</v>
      </c>
    </row>
    <row r="8" spans="1:13" x14ac:dyDescent="0.25">
      <c r="A8">
        <v>0.22500000000000001</v>
      </c>
      <c r="B8">
        <v>9.2999999999999999E-2</v>
      </c>
      <c r="C8">
        <v>4.8300000000000003E-2</v>
      </c>
      <c r="D8">
        <v>0.433</v>
      </c>
      <c r="I8" s="1">
        <f>B8*General!$C$4*$G$2^2*General!$C$3^4</f>
        <v>1.2573645288065847</v>
      </c>
      <c r="J8" s="1">
        <f>C8*General!$C$4*$G$2^3*General!$C$3^5</f>
        <v>59.061882063877484</v>
      </c>
      <c r="K8">
        <f t="shared" si="0"/>
        <v>8.6609248883077292E-2</v>
      </c>
      <c r="L8" s="2">
        <f>I8*General!$C$7*General!$C$8</f>
        <v>5.5930360993646113</v>
      </c>
      <c r="M8" s="2">
        <f>K8*General!$C$7*General!$C$8*General!$C$8</f>
        <v>0.11742637463243157</v>
      </c>
    </row>
    <row r="9" spans="1:13" x14ac:dyDescent="0.25">
      <c r="A9">
        <v>0.246</v>
      </c>
      <c r="B9">
        <v>8.8800000000000004E-2</v>
      </c>
      <c r="C9">
        <v>4.7500000000000001E-2</v>
      </c>
      <c r="D9">
        <v>0.46100000000000002</v>
      </c>
      <c r="I9" s="1">
        <f>B9*General!$C$4*$G$2^2*General!$C$3^4</f>
        <v>1.2005803242798359</v>
      </c>
      <c r="J9" s="1">
        <f>C9*General!$C$4*$G$2^3*General!$C$3^5</f>
        <v>58.083631429279095</v>
      </c>
      <c r="K9">
        <f t="shared" si="0"/>
        <v>8.5174727162446603E-2</v>
      </c>
      <c r="L9" s="2">
        <f>I9*General!$C$7*General!$C$8</f>
        <v>5.3404473722965333</v>
      </c>
      <c r="M9" s="2">
        <f>K9*General!$C$7*General!$C$8*General!$C$8</f>
        <v>0.11548142432796063</v>
      </c>
    </row>
    <row r="10" spans="1:13" x14ac:dyDescent="0.25">
      <c r="A10">
        <v>0.26600000000000001</v>
      </c>
      <c r="B10">
        <v>8.4699999999999998E-2</v>
      </c>
      <c r="C10">
        <v>4.65E-2</v>
      </c>
      <c r="D10">
        <v>0.48499999999999999</v>
      </c>
      <c r="I10" s="1">
        <f>B10*General!$C$4*$G$2^2*General!$C$3^4</f>
        <v>1.1451481246227715</v>
      </c>
      <c r="J10" s="1">
        <f>C10*General!$C$4*$G$2^3*General!$C$3^5</f>
        <v>56.860818136031121</v>
      </c>
      <c r="K10">
        <f t="shared" si="0"/>
        <v>8.3381575011658257E-2</v>
      </c>
      <c r="L10" s="2">
        <f>I10*General!$C$7*General!$C$8</f>
        <v>5.0938726625395994</v>
      </c>
      <c r="M10" s="2">
        <f>K10*General!$C$7*General!$C$8*General!$C$8</f>
        <v>0.113050236447372</v>
      </c>
    </row>
    <row r="11" spans="1:13" x14ac:dyDescent="0.25">
      <c r="A11">
        <v>0.28699999999999998</v>
      </c>
      <c r="B11">
        <v>8.1299999999999997E-2</v>
      </c>
      <c r="C11">
        <v>4.5999999999999999E-2</v>
      </c>
      <c r="D11">
        <v>0.50800000000000001</v>
      </c>
      <c r="I11" s="1">
        <f>B11*General!$C$4*$G$2^2*General!$C$3^4</f>
        <v>1.0991799590534983</v>
      </c>
      <c r="J11" s="1">
        <f>C11*General!$C$4*$G$2^3*General!$C$3^5</f>
        <v>56.249411489407123</v>
      </c>
      <c r="K11">
        <f t="shared" si="0"/>
        <v>8.248499893626407E-2</v>
      </c>
      <c r="L11" s="2">
        <f>I11*General!$C$7*General!$C$8</f>
        <v>4.8893960739606772</v>
      </c>
      <c r="M11" s="2">
        <f>K11*General!$C$7*General!$C$8*General!$C$8</f>
        <v>0.11183464250707766</v>
      </c>
    </row>
    <row r="12" spans="1:13" x14ac:dyDescent="0.25">
      <c r="A12">
        <v>0.309</v>
      </c>
      <c r="B12">
        <v>7.7700000000000005E-2</v>
      </c>
      <c r="C12">
        <v>4.5400000000000003E-2</v>
      </c>
      <c r="D12">
        <v>0.52900000000000003</v>
      </c>
      <c r="I12" s="1">
        <f>B12*General!$C$4*$G$2^2*General!$C$3^4</f>
        <v>1.0505077837448564</v>
      </c>
      <c r="J12" s="1">
        <f>C12*General!$C$4*$G$2^3*General!$C$3^5</f>
        <v>55.51572351345834</v>
      </c>
      <c r="K12">
        <f t="shared" si="0"/>
        <v>8.1409107645791068E-2</v>
      </c>
      <c r="L12" s="2">
        <f>I12*General!$C$7*General!$C$8</f>
        <v>4.672891450759467</v>
      </c>
      <c r="M12" s="2">
        <f>K12*General!$C$7*General!$C$8*General!$C$8</f>
        <v>0.11037592977872449</v>
      </c>
    </row>
    <row r="13" spans="1:13" x14ac:dyDescent="0.25">
      <c r="A13">
        <v>0.33200000000000002</v>
      </c>
      <c r="B13">
        <v>7.2900000000000006E-2</v>
      </c>
      <c r="C13">
        <v>4.4400000000000002E-2</v>
      </c>
      <c r="D13">
        <v>0.54400000000000004</v>
      </c>
      <c r="I13" s="1">
        <f>B13*General!$C$4*$G$2^2*General!$C$3^4</f>
        <v>0.98561155000000034</v>
      </c>
      <c r="J13" s="1">
        <f>C13*General!$C$4*$G$2^3*General!$C$3^5</f>
        <v>54.292910220210352</v>
      </c>
      <c r="K13">
        <f t="shared" si="0"/>
        <v>7.9615955495002722E-2</v>
      </c>
      <c r="L13" s="2">
        <f>I13*General!$C$7*General!$C$8</f>
        <v>4.3842186198245185</v>
      </c>
      <c r="M13" s="2">
        <f>K13*General!$C$7*General!$C$8*General!$C$8</f>
        <v>0.10794474189813585</v>
      </c>
    </row>
    <row r="14" spans="1:13" x14ac:dyDescent="0.25">
      <c r="A14">
        <v>0.35799999999999998</v>
      </c>
      <c r="B14">
        <v>6.8000000000000005E-2</v>
      </c>
      <c r="C14">
        <v>4.3400000000000001E-2</v>
      </c>
      <c r="D14">
        <v>0.56000000000000005</v>
      </c>
      <c r="I14" s="1">
        <f>B14*General!$C$4*$G$2^2*General!$C$3^4</f>
        <v>0.91936331138546001</v>
      </c>
      <c r="J14" s="1">
        <f>C14*General!$C$4*$G$2^3*General!$C$3^5</f>
        <v>53.070096926962378</v>
      </c>
      <c r="K14">
        <f t="shared" si="0"/>
        <v>7.7822803344214375E-2</v>
      </c>
      <c r="L14" s="2">
        <f>I14*General!$C$7*General!$C$8</f>
        <v>4.089531771578427</v>
      </c>
      <c r="M14" s="2">
        <f>K14*General!$C$7*General!$C$8*General!$C$8</f>
        <v>0.1055135540175472</v>
      </c>
    </row>
    <row r="15" spans="1:13" x14ac:dyDescent="0.25">
      <c r="A15">
        <v>0.379</v>
      </c>
      <c r="B15">
        <v>6.3799999999999996E-2</v>
      </c>
      <c r="C15">
        <v>4.24E-2</v>
      </c>
      <c r="D15">
        <v>0.56899999999999995</v>
      </c>
      <c r="I15" s="1">
        <f>B15*General!$C$4*$G$2^2*General!$C$3^4</f>
        <v>0.86257910685871075</v>
      </c>
      <c r="J15" s="1">
        <f>C15*General!$C$4*$G$2^3*General!$C$3^5</f>
        <v>51.847283633714397</v>
      </c>
      <c r="K15">
        <f t="shared" si="0"/>
        <v>7.6029651193426043E-2</v>
      </c>
      <c r="L15" s="2">
        <f>I15*General!$C$7*General!$C$8</f>
        <v>3.8369430445103467</v>
      </c>
      <c r="M15" s="2">
        <f>K15*General!$C$7*General!$C$8*General!$C$8</f>
        <v>0.10308236613695858</v>
      </c>
    </row>
    <row r="16" spans="1:13" x14ac:dyDescent="0.25">
      <c r="A16">
        <v>0.39600000000000002</v>
      </c>
      <c r="B16">
        <v>0.06</v>
      </c>
      <c r="C16">
        <v>4.1399999999999999E-2</v>
      </c>
      <c r="D16">
        <v>0.57299999999999995</v>
      </c>
      <c r="I16" s="1">
        <f>B16*General!$C$4*$G$2^2*General!$C$3^4</f>
        <v>0.81120292181069986</v>
      </c>
      <c r="J16" s="1">
        <f>C16*General!$C$4*$G$2^3*General!$C$3^5</f>
        <v>50.624470340466416</v>
      </c>
      <c r="K16">
        <f t="shared" si="0"/>
        <v>7.4236499042637683E-2</v>
      </c>
      <c r="L16" s="2">
        <f>I16*General!$C$7*General!$C$8</f>
        <v>3.6084103866868471</v>
      </c>
      <c r="M16" s="2">
        <f>K16*General!$C$7*General!$C$8*General!$C$8</f>
        <v>0.10065117825636993</v>
      </c>
    </row>
    <row r="17" spans="1:13" x14ac:dyDescent="0.25">
      <c r="A17">
        <v>0.42099999999999999</v>
      </c>
      <c r="B17">
        <v>5.4199999999999998E-2</v>
      </c>
      <c r="C17">
        <v>3.9800000000000002E-2</v>
      </c>
      <c r="D17">
        <v>0.57299999999999995</v>
      </c>
      <c r="I17" s="1">
        <f>B17*General!$C$4*$G$2^2*General!$C$3^4</f>
        <v>0.73278663936899879</v>
      </c>
      <c r="J17" s="1">
        <f>C17*General!$C$4*$G$2^3*General!$C$3^5</f>
        <v>48.667969071269646</v>
      </c>
      <c r="K17">
        <f t="shared" si="0"/>
        <v>7.136745560137632E-2</v>
      </c>
      <c r="L17" s="2">
        <f>I17*General!$C$7*General!$C$8</f>
        <v>3.2595973826404512</v>
      </c>
      <c r="M17" s="2">
        <f>K17*General!$C$7*General!$C$8*General!$C$8</f>
        <v>9.6761277647428076E-2</v>
      </c>
    </row>
    <row r="18" spans="1:13" x14ac:dyDescent="0.25">
      <c r="A18">
        <v>0.44500000000000001</v>
      </c>
      <c r="B18">
        <v>4.8399999999999999E-2</v>
      </c>
      <c r="C18">
        <v>3.8100000000000002E-2</v>
      </c>
      <c r="D18">
        <v>0.56599999999999995</v>
      </c>
      <c r="I18" s="1">
        <f>B18*General!$C$4*$G$2^2*General!$C$3^4</f>
        <v>0.65437035692729784</v>
      </c>
      <c r="J18" s="1">
        <f>C18*General!$C$4*$G$2^3*General!$C$3^5</f>
        <v>46.589186472748075</v>
      </c>
      <c r="K18">
        <f t="shared" si="0"/>
        <v>6.8319096945036115E-2</v>
      </c>
      <c r="L18" s="2">
        <f>I18*General!$C$7*General!$C$8</f>
        <v>2.9107843785940561</v>
      </c>
      <c r="M18" s="2">
        <f>K18*General!$C$7*General!$C$8*General!$C$8</f>
        <v>9.2628258250427364E-2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M19"/>
  <sheetViews>
    <sheetView workbookViewId="0">
      <selection activeCell="M22" sqref="M22"/>
    </sheetView>
  </sheetViews>
  <sheetFormatPr defaultRowHeight="15" x14ac:dyDescent="0.25"/>
  <cols>
    <col min="1" max="1" width="6" bestFit="1" customWidth="1"/>
    <col min="2" max="2" width="7.7109375" bestFit="1" customWidth="1"/>
    <col min="3" max="3" width="7" bestFit="1" customWidth="1"/>
    <col min="4" max="4" width="6.710937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F1" t="s">
        <v>10</v>
      </c>
      <c r="G1">
        <v>6513</v>
      </c>
      <c r="I1" s="1" t="s">
        <v>7</v>
      </c>
      <c r="J1" s="1" t="s">
        <v>8</v>
      </c>
      <c r="K1" t="s">
        <v>9</v>
      </c>
      <c r="L1" s="2" t="s">
        <v>24</v>
      </c>
      <c r="M1" s="2" t="s">
        <v>25</v>
      </c>
    </row>
    <row r="2" spans="1:13" x14ac:dyDescent="0.25">
      <c r="A2">
        <v>0.378</v>
      </c>
      <c r="B2">
        <v>6.3200000000000006E-2</v>
      </c>
      <c r="C2">
        <v>4.2200000000000001E-2</v>
      </c>
      <c r="D2">
        <v>0.56699999999999995</v>
      </c>
      <c r="F2" t="s">
        <v>4</v>
      </c>
      <c r="G2">
        <f>G1/60</f>
        <v>108.55</v>
      </c>
      <c r="I2" s="1">
        <f>B2*General!$C$4*$G$2^2*General!$C$3^4</f>
        <v>0.85472952625385845</v>
      </c>
      <c r="J2" s="1">
        <f>C2*General!$C$4*$G$2^3*General!$C$3^5</f>
        <v>51.626497378150532</v>
      </c>
      <c r="K2">
        <f>J2/2/PI()/$G$2</f>
        <v>7.5694263033196055E-2</v>
      </c>
      <c r="L2" s="2">
        <f>I2*General!$C$7*General!$C$8</f>
        <v>3.802026370242876</v>
      </c>
      <c r="M2" s="2">
        <f>K2*General!$C$7*General!$C$8*General!$C$8</f>
        <v>0.10262764084770434</v>
      </c>
    </row>
    <row r="3" spans="1:13" x14ac:dyDescent="0.25">
      <c r="A3">
        <v>0.4</v>
      </c>
      <c r="B3">
        <v>5.8400000000000001E-2</v>
      </c>
      <c r="C3">
        <v>4.0899999999999999E-2</v>
      </c>
      <c r="D3">
        <v>0.57199999999999995</v>
      </c>
      <c r="I3" s="1">
        <f>B3*General!$C$4*$G$2^2*General!$C$3^4</f>
        <v>0.78981335970293221</v>
      </c>
      <c r="J3" s="1">
        <f>C3*General!$C$4*$G$2^3*General!$C$3^5</f>
        <v>50.036107648491864</v>
      </c>
      <c r="K3">
        <f t="shared" ref="K3:K19" si="0">J3/2/PI()/$G$2</f>
        <v>7.3362449243073904E-2</v>
      </c>
      <c r="L3" s="2">
        <f>I3*General!$C$7*General!$C$8</f>
        <v>3.5132648737687324</v>
      </c>
      <c r="M3" s="2">
        <f>K3*General!$C$7*General!$C$8*General!$C$8</f>
        <v>9.946612584528694E-2</v>
      </c>
    </row>
    <row r="4" spans="1:13" x14ac:dyDescent="0.25">
      <c r="A4">
        <v>0.42099999999999999</v>
      </c>
      <c r="B4">
        <v>5.4199999999999998E-2</v>
      </c>
      <c r="C4">
        <v>3.9800000000000002E-2</v>
      </c>
      <c r="D4">
        <v>0.57299999999999995</v>
      </c>
      <c r="I4" s="1">
        <f>B4*General!$C$4*$G$2^2*General!$C$3^4</f>
        <v>0.73301171397087206</v>
      </c>
      <c r="J4" s="1">
        <f>C4*General!$C$4*$G$2^3*General!$C$3^5</f>
        <v>48.690393261857615</v>
      </c>
      <c r="K4">
        <f t="shared" si="0"/>
        <v>7.1389376036047475E-2</v>
      </c>
      <c r="L4" s="2">
        <f>I4*General!$C$7*General!$C$8</f>
        <v>3.2605985643538578</v>
      </c>
      <c r="M4" s="2">
        <f>K4*General!$C$7*General!$C$8*General!$C$8</f>
        <v>9.6790997766318332E-2</v>
      </c>
    </row>
    <row r="5" spans="1:13" x14ac:dyDescent="0.25">
      <c r="A5">
        <v>0.441</v>
      </c>
      <c r="B5">
        <v>4.9200000000000001E-2</v>
      </c>
      <c r="C5">
        <v>3.8300000000000001E-2</v>
      </c>
      <c r="D5">
        <v>0.56599999999999995</v>
      </c>
      <c r="I5" s="1">
        <f>B5*General!$C$4*$G$2^2*General!$C$3^4</f>
        <v>0.665390707146991</v>
      </c>
      <c r="J5" s="1">
        <f>C5*General!$C$4*$G$2^3*General!$C$3^5</f>
        <v>46.855328189174529</v>
      </c>
      <c r="K5">
        <f t="shared" si="0"/>
        <v>6.869882166282959E-2</v>
      </c>
      <c r="L5" s="2">
        <f>I5*General!$C$7*General!$C$8</f>
        <v>2.9598053388599599</v>
      </c>
      <c r="M5" s="2">
        <f>K5*General!$C$7*General!$C$8*General!$C$8</f>
        <v>9.3143095840452036E-2</v>
      </c>
    </row>
    <row r="6" spans="1:13" x14ac:dyDescent="0.25">
      <c r="A6">
        <v>0.46600000000000003</v>
      </c>
      <c r="B6">
        <v>4.3400000000000001E-2</v>
      </c>
      <c r="C6">
        <v>3.6700000000000003E-2</v>
      </c>
      <c r="D6">
        <v>0.55100000000000005</v>
      </c>
      <c r="I6" s="1">
        <f>B6*General!$C$4*$G$2^2*General!$C$3^4</f>
        <v>0.58695033923128881</v>
      </c>
      <c r="J6" s="1">
        <f>C6*General!$C$4*$G$2^3*General!$C$3^5</f>
        <v>44.897925444979258</v>
      </c>
      <c r="K6">
        <f t="shared" si="0"/>
        <v>6.5828896998063879E-2</v>
      </c>
      <c r="L6" s="2">
        <f>I6*General!$C$7*General!$C$8</f>
        <v>2.6108851972870384</v>
      </c>
      <c r="M6" s="2">
        <f>K6*General!$C$7*General!$C$8*General!$C$8</f>
        <v>8.9252000452861385E-2</v>
      </c>
    </row>
    <row r="7" spans="1:13" x14ac:dyDescent="0.25">
      <c r="A7">
        <v>0.48699999999999999</v>
      </c>
      <c r="B7">
        <v>3.8100000000000002E-2</v>
      </c>
      <c r="C7">
        <v>3.5099999999999999E-2</v>
      </c>
      <c r="D7">
        <v>0.52800000000000002</v>
      </c>
      <c r="I7" s="1">
        <f>B7*General!$C$4*$G$2^2*General!$C$3^4</f>
        <v>0.51527207199797476</v>
      </c>
      <c r="J7" s="1">
        <f>C7*General!$C$4*$G$2^3*General!$C$3^5</f>
        <v>42.940522700783973</v>
      </c>
      <c r="K7">
        <f t="shared" si="0"/>
        <v>6.2958972333298141E-2</v>
      </c>
      <c r="L7" s="2">
        <f>I7*General!$C$7*General!$C$8</f>
        <v>2.2920443782635056</v>
      </c>
      <c r="M7" s="2">
        <f>K7*General!$C$7*General!$C$8*General!$C$8</f>
        <v>8.5360905065270679E-2</v>
      </c>
    </row>
    <row r="8" spans="1:13" x14ac:dyDescent="0.25">
      <c r="A8">
        <v>0.50700000000000001</v>
      </c>
      <c r="B8">
        <v>3.2800000000000003E-2</v>
      </c>
      <c r="C8">
        <v>3.3599999999999998E-2</v>
      </c>
      <c r="D8">
        <v>0.495</v>
      </c>
      <c r="I8" s="1">
        <f>B8*General!$C$4*$G$2^2*General!$C$3^4</f>
        <v>0.4435938047646607</v>
      </c>
      <c r="J8" s="1">
        <f>C8*General!$C$4*$G$2^3*General!$C$3^5</f>
        <v>41.105457628100901</v>
      </c>
      <c r="K8">
        <f t="shared" si="0"/>
        <v>6.0268417960080284E-2</v>
      </c>
      <c r="L8" s="2">
        <f>I8*General!$C$7*General!$C$8</f>
        <v>1.9732035592399737</v>
      </c>
      <c r="M8" s="2">
        <f>K8*General!$C$7*General!$C$8*General!$C$8</f>
        <v>8.1713003139404425E-2</v>
      </c>
    </row>
    <row r="9" spans="1:13" x14ac:dyDescent="0.25">
      <c r="A9">
        <v>0.53200000000000003</v>
      </c>
      <c r="B9">
        <v>2.6200000000000001E-2</v>
      </c>
      <c r="C9">
        <v>3.1800000000000002E-2</v>
      </c>
      <c r="D9">
        <v>0.439</v>
      </c>
      <c r="I9" s="1">
        <f>B9*General!$C$4*$G$2^2*General!$C$3^4</f>
        <v>0.35433407575713749</v>
      </c>
      <c r="J9" s="1">
        <f>C9*General!$C$4*$G$2^3*General!$C$3^5</f>
        <v>38.903379540881211</v>
      </c>
      <c r="K9">
        <f t="shared" si="0"/>
        <v>5.7039752712218839E-2</v>
      </c>
      <c r="L9" s="2">
        <f>I9*General!$C$7*General!$C$8</f>
        <v>1.5761565015880274</v>
      </c>
      <c r="M9" s="2">
        <f>K9*General!$C$7*General!$C$8*General!$C$8</f>
        <v>7.7335520828364909E-2</v>
      </c>
    </row>
    <row r="10" spans="1:13" x14ac:dyDescent="0.25">
      <c r="A10">
        <v>0.55200000000000005</v>
      </c>
      <c r="B10">
        <v>2.0400000000000001E-2</v>
      </c>
      <c r="C10">
        <v>3.0200000000000001E-2</v>
      </c>
      <c r="D10">
        <v>0.374</v>
      </c>
      <c r="I10" s="1">
        <f>B10*General!$C$4*$G$2^2*General!$C$3^4</f>
        <v>0.2758937078414353</v>
      </c>
      <c r="J10" s="1">
        <f>C10*General!$C$4*$G$2^3*General!$C$3^5</f>
        <v>36.945976796685933</v>
      </c>
      <c r="K10">
        <f t="shared" si="0"/>
        <v>5.4169828047453114E-2</v>
      </c>
      <c r="L10" s="2">
        <f>I10*General!$C$7*General!$C$8</f>
        <v>1.2272363600151055</v>
      </c>
      <c r="M10" s="2">
        <f>K10*General!$C$7*General!$C$8*General!$C$8</f>
        <v>7.3444425440774216E-2</v>
      </c>
    </row>
    <row r="11" spans="1:13" x14ac:dyDescent="0.25">
      <c r="A11">
        <v>0.57999999999999996</v>
      </c>
      <c r="B11">
        <v>1.21E-2</v>
      </c>
      <c r="C11">
        <v>2.7699999999999999E-2</v>
      </c>
      <c r="D11">
        <v>0.253</v>
      </c>
      <c r="I11" s="1">
        <f>B11*General!$C$4*$G$2^2*General!$C$3^4</f>
        <v>0.16364283651379249</v>
      </c>
      <c r="J11" s="1">
        <f>C11*General!$C$4*$G$2^3*General!$C$3^5</f>
        <v>33.887535008880803</v>
      </c>
      <c r="K11">
        <f t="shared" si="0"/>
        <v>4.968557075875666E-2</v>
      </c>
      <c r="L11" s="2">
        <f>I11*General!$C$7*General!$C$8</f>
        <v>0.72791960569523406</v>
      </c>
      <c r="M11" s="2">
        <f>K11*General!$C$7*General!$C$8*General!$C$8</f>
        <v>6.7364588897663766E-2</v>
      </c>
    </row>
    <row r="12" spans="1:13" x14ac:dyDescent="0.25">
      <c r="A12">
        <v>0.6</v>
      </c>
      <c r="B12">
        <v>6.3E-3</v>
      </c>
      <c r="C12">
        <v>2.5999999999999999E-2</v>
      </c>
      <c r="D12">
        <v>0.14599999999999999</v>
      </c>
      <c r="I12" s="1">
        <f>B12*General!$C$4*$G$2^2*General!$C$3^4</f>
        <v>8.5202468598090303E-2</v>
      </c>
      <c r="J12" s="1">
        <f>C12*General!$C$4*$G$2^3*General!$C$3^5</f>
        <v>31.807794593173313</v>
      </c>
      <c r="K12">
        <f t="shared" si="0"/>
        <v>4.6636275802443068E-2</v>
      </c>
      <c r="L12" s="2">
        <f>I12*General!$C$7*General!$C$8</f>
        <v>0.37899946412231195</v>
      </c>
      <c r="M12" s="2">
        <f>K12*General!$C$7*General!$C$8*General!$C$8</f>
        <v>6.3230300048348662E-2</v>
      </c>
    </row>
    <row r="13" spans="1:13" x14ac:dyDescent="0.25">
      <c r="A13">
        <v>0.61899999999999999</v>
      </c>
      <c r="B13">
        <v>2.0000000000000001E-4</v>
      </c>
      <c r="C13">
        <v>2.4199999999999999E-2</v>
      </c>
      <c r="D13">
        <v>4.0000000000000001E-3</v>
      </c>
      <c r="I13" s="1">
        <f>B13*General!$C$4*$G$2^2*General!$C$3^4</f>
        <v>2.7048402729552478E-3</v>
      </c>
      <c r="J13" s="1">
        <f>C13*General!$C$4*$G$2^3*General!$C$3^5</f>
        <v>29.60571650595362</v>
      </c>
      <c r="K13">
        <f t="shared" si="0"/>
        <v>4.3407610554581623E-2</v>
      </c>
      <c r="L13" s="2">
        <f>I13*General!$C$7*General!$C$8</f>
        <v>1.2031729019755934E-2</v>
      </c>
      <c r="M13" s="2">
        <f>K13*General!$C$7*General!$C$8*General!$C$8</f>
        <v>5.8852817737309132E-2</v>
      </c>
    </row>
    <row r="14" spans="1:13" x14ac:dyDescent="0.25">
      <c r="A14">
        <v>0.64600000000000002</v>
      </c>
      <c r="B14">
        <v>-8.2000000000000007E-3</v>
      </c>
      <c r="C14">
        <v>2.1700000000000001E-2</v>
      </c>
      <c r="D14">
        <v>-0.245</v>
      </c>
      <c r="I14" s="1">
        <f>B14*General!$C$4*$G$2^2*General!$C$3^4</f>
        <v>-0.11089845119116518</v>
      </c>
      <c r="J14" s="1">
        <f>C14*General!$C$4*$G$2^3*General!$C$3^5</f>
        <v>26.5472747181485</v>
      </c>
      <c r="K14">
        <f t="shared" si="0"/>
        <v>3.8923353265885183E-2</v>
      </c>
      <c r="L14" s="2">
        <f>I14*General!$C$7*General!$C$8</f>
        <v>-0.49330088980999343</v>
      </c>
      <c r="M14" s="2">
        <f>K14*General!$C$7*General!$C$8*General!$C$8</f>
        <v>5.2772981194198702E-2</v>
      </c>
    </row>
    <row r="15" spans="1:13" x14ac:dyDescent="0.25">
      <c r="A15">
        <v>0.66600000000000004</v>
      </c>
      <c r="B15">
        <v>-1.43E-2</v>
      </c>
      <c r="C15">
        <v>1.9699999999999999E-2</v>
      </c>
      <c r="D15">
        <v>-0.48399999999999999</v>
      </c>
      <c r="I15" s="1">
        <f>B15*General!$C$4*$G$2^2*General!$C$3^4</f>
        <v>-0.1933960795163002</v>
      </c>
      <c r="J15" s="1">
        <f>C15*General!$C$4*$G$2^3*General!$C$3^5</f>
        <v>24.100521287904392</v>
      </c>
      <c r="K15">
        <f t="shared" si="0"/>
        <v>3.5335947434928017E-2</v>
      </c>
      <c r="L15" s="2">
        <f>I15*General!$C$7*General!$C$8</f>
        <v>-0.86026862491254918</v>
      </c>
      <c r="M15" s="2">
        <f>K15*General!$C$7*General!$C$8*General!$C$8</f>
        <v>4.7909111959710322E-2</v>
      </c>
    </row>
    <row r="16" spans="1:13" x14ac:dyDescent="0.25">
      <c r="A16">
        <v>0.69199999999999995</v>
      </c>
      <c r="B16">
        <v>-2.2800000000000001E-2</v>
      </c>
      <c r="C16">
        <v>1.72E-2</v>
      </c>
      <c r="D16">
        <v>-0.91700000000000004</v>
      </c>
      <c r="I16" s="1">
        <f>B16*General!$C$4*$G$2^2*General!$C$3^4</f>
        <v>-0.30835179111689826</v>
      </c>
      <c r="J16" s="1">
        <f>C16*General!$C$4*$G$2^3*General!$C$3^5</f>
        <v>21.042079500099266</v>
      </c>
      <c r="K16">
        <f t="shared" si="0"/>
        <v>3.0851690146231563E-2</v>
      </c>
      <c r="L16" s="2">
        <f>I16*General!$C$7*General!$C$8</f>
        <v>-1.3716171082521766</v>
      </c>
      <c r="M16" s="2">
        <f>K16*General!$C$7*General!$C$8*General!$C$8</f>
        <v>4.1829275416599865E-2</v>
      </c>
    </row>
    <row r="17" spans="1:13" x14ac:dyDescent="0.25">
      <c r="A17">
        <v>0.70899999999999996</v>
      </c>
      <c r="B17">
        <v>-2.8199999999999999E-2</v>
      </c>
      <c r="C17">
        <v>1.55E-2</v>
      </c>
      <c r="D17">
        <v>-1.288</v>
      </c>
      <c r="I17" s="1">
        <f>B17*General!$C$4*$G$2^2*General!$C$3^4</f>
        <v>-0.38138247848668988</v>
      </c>
      <c r="J17" s="1">
        <f>C17*General!$C$4*$G$2^3*General!$C$3^5</f>
        <v>18.962339084391783</v>
      </c>
      <c r="K17">
        <f t="shared" si="0"/>
        <v>2.7802395189917985E-2</v>
      </c>
      <c r="L17" s="2">
        <f>I17*General!$C$7*General!$C$8</f>
        <v>-1.6964737917855865</v>
      </c>
      <c r="M17" s="2">
        <f>K17*General!$C$7*General!$C$8*General!$C$8</f>
        <v>3.7694986567284781E-2</v>
      </c>
    </row>
    <row r="18" spans="1:13" x14ac:dyDescent="0.25">
      <c r="A18">
        <v>0.73599999999999999</v>
      </c>
      <c r="B18">
        <v>-3.7100000000000001E-2</v>
      </c>
      <c r="C18">
        <v>1.2800000000000001E-2</v>
      </c>
      <c r="D18">
        <v>-2.133</v>
      </c>
      <c r="I18" s="1">
        <f>B18*General!$C$4*$G$2^2*General!$C$3^4</f>
        <v>-0.50174787063319848</v>
      </c>
      <c r="J18" s="1">
        <f>C18*General!$C$4*$G$2^3*General!$C$3^5</f>
        <v>15.659221953562247</v>
      </c>
      <c r="K18">
        <f t="shared" si="0"/>
        <v>2.2959397318125817E-2</v>
      </c>
      <c r="L18" s="2">
        <f>I18*General!$C$7*General!$C$8</f>
        <v>-2.2318857331647259</v>
      </c>
      <c r="M18" s="2">
        <f>K18*General!$C$7*General!$C$8*General!$C$8</f>
        <v>3.1128763100725484E-2</v>
      </c>
    </row>
    <row r="19" spans="1:13" x14ac:dyDescent="0.25">
      <c r="A19">
        <v>0.75600000000000001</v>
      </c>
      <c r="B19">
        <v>-4.3999999999999997E-2</v>
      </c>
      <c r="C19">
        <v>1.06E-2</v>
      </c>
      <c r="D19">
        <v>-3.1379999999999999</v>
      </c>
      <c r="I19" s="1">
        <f>B19*General!$C$4*$G$2^2*General!$C$3^4</f>
        <v>-0.59506486005015446</v>
      </c>
      <c r="J19" s="1">
        <f>C19*General!$C$4*$G$2^3*General!$C$3^5</f>
        <v>12.967793180293736</v>
      </c>
      <c r="K19">
        <f t="shared" si="0"/>
        <v>1.9013250904072944E-2</v>
      </c>
      <c r="L19" s="2">
        <f>I19*General!$C$7*General!$C$8</f>
        <v>-2.6469803843463056</v>
      </c>
      <c r="M19" s="2">
        <f>K19*General!$C$7*General!$C$8*General!$C$8</f>
        <v>2.5778506942788302E-2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1:Q248"/>
  <sheetViews>
    <sheetView workbookViewId="0">
      <selection activeCell="L19" sqref="L19"/>
    </sheetView>
  </sheetViews>
  <sheetFormatPr defaultRowHeight="15" x14ac:dyDescent="0.25"/>
  <cols>
    <col min="1" max="4" width="9.140625" style="2"/>
    <col min="5" max="5" width="9.140625" style="6"/>
    <col min="6" max="6" width="9.140625" style="8"/>
    <col min="7" max="17" width="9.140625" style="2"/>
    <col min="18" max="36" width="4.7109375" style="2" customWidth="1"/>
    <col min="37" max="16384" width="9.140625" style="2"/>
  </cols>
  <sheetData>
    <row r="1" spans="1:17" ht="15.75" x14ac:dyDescent="0.25">
      <c r="A1" s="15" t="s">
        <v>0</v>
      </c>
      <c r="B1" s="15" t="s">
        <v>7</v>
      </c>
      <c r="C1" s="15" t="s">
        <v>9</v>
      </c>
      <c r="D1" s="15" t="s">
        <v>10</v>
      </c>
      <c r="E1" s="5"/>
      <c r="F1" s="7"/>
      <c r="H1" s="9"/>
      <c r="I1" s="9"/>
      <c r="J1" s="9"/>
      <c r="K1" s="9"/>
      <c r="L1" s="9"/>
      <c r="M1" s="9"/>
      <c r="N1" s="9"/>
      <c r="O1" s="9"/>
      <c r="P1" s="9"/>
    </row>
    <row r="2" spans="1:17" x14ac:dyDescent="0.25">
      <c r="A2" s="2">
        <f>'4014'!A2</f>
        <v>0.14199999999999999</v>
      </c>
      <c r="B2" s="3">
        <f>'4014'!L2</f>
        <v>2.1981923819648386</v>
      </c>
      <c r="C2" s="2">
        <f>'4014'!M2</f>
        <v>4.1660167960180128E-2</v>
      </c>
      <c r="D2" s="2">
        <f>'4014'!$G$1</f>
        <v>4014</v>
      </c>
      <c r="H2" s="9"/>
      <c r="I2" s="9"/>
      <c r="J2" s="9"/>
      <c r="K2" s="9"/>
      <c r="L2" s="9"/>
      <c r="M2" s="9"/>
      <c r="N2" s="9"/>
      <c r="O2" s="9"/>
      <c r="P2" s="9"/>
      <c r="Q2" s="4"/>
    </row>
    <row r="3" spans="1:17" x14ac:dyDescent="0.25">
      <c r="A3" s="2">
        <f>'4014'!A3</f>
        <v>0.17799999999999999</v>
      </c>
      <c r="B3" s="3">
        <f>'4014'!L3</f>
        <v>2.0748011255967502</v>
      </c>
      <c r="C3" s="2">
        <f>'4014'!M3</f>
        <v>4.1198303570377695E-2</v>
      </c>
      <c r="D3" s="2">
        <f>'4014'!$G$1</f>
        <v>4014</v>
      </c>
      <c r="H3" s="9" t="s">
        <v>13</v>
      </c>
      <c r="I3" s="14">
        <f>MIN(B:B)</f>
        <v>-2.6469803843463056</v>
      </c>
      <c r="J3" s="9"/>
      <c r="K3" s="9"/>
      <c r="L3" s="10"/>
      <c r="M3" s="9"/>
      <c r="N3" s="9"/>
      <c r="O3" s="9"/>
      <c r="P3" s="9"/>
    </row>
    <row r="4" spans="1:17" x14ac:dyDescent="0.25">
      <c r="A4" s="2">
        <f>'4014'!A4</f>
        <v>0.216</v>
      </c>
      <c r="B4" s="3">
        <f>'4014'!L4</f>
        <v>1.9285596365679043</v>
      </c>
      <c r="C4" s="2">
        <f>'4014'!M4</f>
        <v>4.0274574790772816E-2</v>
      </c>
      <c r="D4" s="2">
        <f>'4014'!$G$1</f>
        <v>4014</v>
      </c>
      <c r="H4" s="9" t="s">
        <v>11</v>
      </c>
      <c r="I4" s="14">
        <f>MAX(B:B)</f>
        <v>7.699554716100768</v>
      </c>
      <c r="J4" s="9"/>
      <c r="K4" s="9"/>
      <c r="L4" s="9"/>
      <c r="M4" s="9"/>
      <c r="N4" s="9"/>
      <c r="O4" s="9"/>
      <c r="P4" s="9"/>
    </row>
    <row r="5" spans="1:17" x14ac:dyDescent="0.25">
      <c r="A5" s="2">
        <f>'4014'!A5</f>
        <v>0.255</v>
      </c>
      <c r="B5" s="3">
        <f>'4014'!L5</f>
        <v>1.7914582406033612</v>
      </c>
      <c r="C5" s="2">
        <f>'4014'!M5</f>
        <v>3.9443218889128419E-2</v>
      </c>
      <c r="D5" s="2">
        <f>'4014'!$G$1</f>
        <v>4014</v>
      </c>
      <c r="H5" s="9" t="s">
        <v>14</v>
      </c>
      <c r="I5" s="9">
        <f>MIN(A:A)</f>
        <v>0</v>
      </c>
      <c r="J5" s="9"/>
      <c r="K5" s="9"/>
      <c r="L5" s="9"/>
      <c r="M5" s="9"/>
      <c r="N5" s="9"/>
      <c r="O5" s="9"/>
      <c r="P5" s="9"/>
    </row>
    <row r="6" spans="1:17" x14ac:dyDescent="0.25">
      <c r="A6" s="2">
        <f>'4014'!A6</f>
        <v>0.28899999999999998</v>
      </c>
      <c r="B6" s="3">
        <f>'4014'!L6</f>
        <v>1.6452167515745153</v>
      </c>
      <c r="C6" s="2">
        <f>'4014'!M6</f>
        <v>3.8242371475642079E-2</v>
      </c>
      <c r="D6" s="2">
        <f>'4014'!$G$1</f>
        <v>4014</v>
      </c>
      <c r="H6" s="13" t="s">
        <v>12</v>
      </c>
      <c r="I6" s="9">
        <f>MAX(A:A)</f>
        <v>0.78300000000000003</v>
      </c>
      <c r="J6" s="9"/>
      <c r="K6" s="9"/>
      <c r="L6" s="9"/>
      <c r="M6" s="9"/>
      <c r="N6" s="9"/>
      <c r="O6" s="9"/>
      <c r="P6" s="9"/>
    </row>
    <row r="7" spans="1:17" x14ac:dyDescent="0.25">
      <c r="A7" s="2">
        <f>'4014'!A7</f>
        <v>0.32600000000000001</v>
      </c>
      <c r="B7" s="3">
        <f>'4014'!L7</f>
        <v>1.5149704254081993</v>
      </c>
      <c r="C7" s="2">
        <f>'4014'!M7</f>
        <v>3.7595761329918667E-2</v>
      </c>
      <c r="D7" s="2">
        <f>'4014'!$G$1</f>
        <v>4014</v>
      </c>
      <c r="H7" s="9"/>
      <c r="I7" s="9"/>
      <c r="J7" s="9"/>
      <c r="K7" s="9"/>
      <c r="L7" s="9"/>
      <c r="M7" s="11"/>
      <c r="N7" s="9"/>
      <c r="O7" s="9"/>
      <c r="P7" s="9"/>
    </row>
    <row r="8" spans="1:17" x14ac:dyDescent="0.25">
      <c r="A8" s="2">
        <f>'4014'!A8</f>
        <v>0.36099999999999999</v>
      </c>
      <c r="B8" s="3">
        <f>'4014'!L8</f>
        <v>1.3504487502507483</v>
      </c>
      <c r="C8" s="2">
        <f>'4014'!M8</f>
        <v>3.6210168160511334E-2</v>
      </c>
      <c r="D8" s="2">
        <f>'4014'!$G$1</f>
        <v>4014</v>
      </c>
      <c r="H8" s="9"/>
      <c r="I8" s="9"/>
      <c r="J8" s="9"/>
      <c r="K8" s="9"/>
      <c r="L8" s="9"/>
      <c r="M8" s="11"/>
      <c r="N8" s="9"/>
      <c r="O8" s="9"/>
      <c r="P8" s="9"/>
    </row>
    <row r="9" spans="1:17" x14ac:dyDescent="0.25">
      <c r="A9" s="2">
        <f>'4014'!A9</f>
        <v>0.39900000000000002</v>
      </c>
      <c r="B9" s="3">
        <f>'4014'!L9</f>
        <v>1.174501958762918</v>
      </c>
      <c r="C9" s="2">
        <f>'4014'!M9</f>
        <v>3.4639829235183037E-2</v>
      </c>
      <c r="D9" s="2">
        <f>'4014'!$G$1</f>
        <v>4014</v>
      </c>
      <c r="H9" s="9"/>
      <c r="I9" s="9"/>
      <c r="J9" s="9"/>
      <c r="K9" s="9"/>
      <c r="L9" s="9"/>
      <c r="M9" s="9"/>
      <c r="N9" s="9"/>
      <c r="O9" s="9"/>
      <c r="P9" s="9"/>
    </row>
    <row r="10" spans="1:17" x14ac:dyDescent="0.25">
      <c r="A10" s="2">
        <f>'4014'!A10</f>
        <v>0.438</v>
      </c>
      <c r="B10" s="3">
        <f>'4014'!L10</f>
        <v>0.9734199113482549</v>
      </c>
      <c r="C10" s="2">
        <f>'4014'!M10</f>
        <v>3.251525304209181E-2</v>
      </c>
      <c r="D10" s="2">
        <f>'4014'!$G$1</f>
        <v>4014</v>
      </c>
      <c r="H10" s="9"/>
      <c r="I10" s="9"/>
      <c r="J10" s="9"/>
      <c r="K10" s="9"/>
      <c r="L10" s="9"/>
      <c r="M10" s="9"/>
      <c r="N10" s="9"/>
      <c r="O10" s="9"/>
      <c r="P10" s="9"/>
    </row>
    <row r="11" spans="1:17" x14ac:dyDescent="0.25">
      <c r="A11" s="2">
        <f>'4014'!A11</f>
        <v>0.46800000000000003</v>
      </c>
      <c r="B11" s="3">
        <f>'4014'!L11</f>
        <v>0.82260837578725765</v>
      </c>
      <c r="C11" s="2">
        <f>'4014'!M11</f>
        <v>3.0944914116763516E-2</v>
      </c>
      <c r="D11" s="2">
        <f>'4014'!$G$1</f>
        <v>4014</v>
      </c>
      <c r="H11" s="9"/>
      <c r="I11" s="9"/>
      <c r="J11" s="9"/>
      <c r="K11" s="9"/>
      <c r="L11" s="9"/>
      <c r="M11" s="9"/>
      <c r="N11" s="9"/>
      <c r="O11" s="9"/>
      <c r="P11" s="9"/>
    </row>
    <row r="12" spans="1:17" x14ac:dyDescent="0.25">
      <c r="A12" s="2">
        <f>'4014'!A12</f>
        <v>0.51</v>
      </c>
      <c r="B12" s="3">
        <f>'4014'!L12</f>
        <v>0.57582586305108041</v>
      </c>
      <c r="C12" s="2">
        <f>'4014'!M12</f>
        <v>2.8450846411830332E-2</v>
      </c>
      <c r="D12" s="2">
        <f>'4014'!$G$1</f>
        <v>4014</v>
      </c>
      <c r="H12" s="9"/>
      <c r="I12" s="9"/>
      <c r="J12" s="9"/>
      <c r="K12" s="9"/>
      <c r="L12" s="9"/>
      <c r="M12" s="9"/>
      <c r="N12" s="9"/>
      <c r="O12" s="9"/>
      <c r="P12" s="9"/>
    </row>
    <row r="13" spans="1:17" x14ac:dyDescent="0.25">
      <c r="A13" s="2">
        <f>'4014'!A13</f>
        <v>0.53400000000000003</v>
      </c>
      <c r="B13" s="3">
        <f>'4014'!L13</f>
        <v>0.43872446708653745</v>
      </c>
      <c r="C13" s="2">
        <f>'4014'!M13</f>
        <v>2.6972880364462524E-2</v>
      </c>
      <c r="D13" s="2">
        <f>'4014'!$G$1</f>
        <v>4014</v>
      </c>
      <c r="H13" s="9"/>
      <c r="I13" s="12"/>
      <c r="J13" s="12"/>
      <c r="K13" s="9"/>
      <c r="L13" s="10"/>
      <c r="M13" s="10"/>
      <c r="N13" s="12"/>
      <c r="O13" s="9"/>
      <c r="P13" s="9"/>
    </row>
    <row r="14" spans="1:17" x14ac:dyDescent="0.25">
      <c r="A14" s="2">
        <f>'4014'!A14</f>
        <v>0.57699999999999996</v>
      </c>
      <c r="B14" s="3">
        <f>'4014'!L14</f>
        <v>0.16452167515745153</v>
      </c>
      <c r="C14" s="2">
        <f>'4014'!M14</f>
        <v>2.3832202513805932E-2</v>
      </c>
      <c r="D14" s="2">
        <f>'4014'!$G$1</f>
        <v>4014</v>
      </c>
      <c r="H14" s="9"/>
      <c r="I14" s="9"/>
      <c r="J14" s="9"/>
      <c r="K14" s="9"/>
      <c r="L14" s="9"/>
      <c r="M14" s="9"/>
      <c r="N14" s="9"/>
      <c r="O14" s="9"/>
      <c r="P14" s="9"/>
    </row>
    <row r="15" spans="1:17" x14ac:dyDescent="0.25">
      <c r="A15" s="2">
        <f>'4014'!A15</f>
        <v>0.61299999999999999</v>
      </c>
      <c r="B15" s="3">
        <f>'4014'!L15</f>
        <v>-7.5405767780498609E-2</v>
      </c>
      <c r="C15" s="2">
        <f>'4014'!M15</f>
        <v>2.1061016174991287E-2</v>
      </c>
      <c r="D15" s="2">
        <f>'4014'!$G$1</f>
        <v>4014</v>
      </c>
      <c r="H15" s="9"/>
      <c r="I15" s="9"/>
      <c r="J15" s="9"/>
      <c r="K15" s="9"/>
      <c r="L15" s="9"/>
      <c r="M15" s="9"/>
      <c r="N15" s="9"/>
      <c r="O15" s="9"/>
      <c r="P15" s="9"/>
    </row>
    <row r="16" spans="1:17" x14ac:dyDescent="0.25">
      <c r="A16" s="2">
        <f>'4014'!A16</f>
        <v>0.64800000000000002</v>
      </c>
      <c r="B16" s="3">
        <f>'4014'!L16</f>
        <v>-0.31304818745237312</v>
      </c>
      <c r="C16" s="2">
        <f>'4014'!M16</f>
        <v>1.8382202714137132E-2</v>
      </c>
      <c r="D16" s="2">
        <f>'4014'!$G$1</f>
        <v>4014</v>
      </c>
      <c r="H16" s="9"/>
      <c r="I16" s="9"/>
      <c r="J16" s="9"/>
      <c r="K16" s="9"/>
      <c r="L16" s="9"/>
      <c r="M16" s="9"/>
      <c r="N16" s="9"/>
      <c r="O16" s="9"/>
      <c r="P16" s="9"/>
    </row>
    <row r="17" spans="1:16" x14ac:dyDescent="0.25">
      <c r="A17" s="2">
        <f>'4014'!A17</f>
        <v>0.68600000000000005</v>
      </c>
      <c r="B17" s="3">
        <f>'4014'!L17</f>
        <v>-0.58725097938145898</v>
      </c>
      <c r="C17" s="2">
        <f>'4014'!M17</f>
        <v>1.496440622959907E-2</v>
      </c>
      <c r="D17" s="2">
        <f>'4014'!$G$1</f>
        <v>4014</v>
      </c>
      <c r="H17" s="9"/>
      <c r="I17" s="9"/>
      <c r="J17" s="9"/>
      <c r="K17" s="9"/>
      <c r="L17" s="9"/>
      <c r="M17" s="9"/>
      <c r="N17" s="9"/>
      <c r="O17" s="9"/>
      <c r="P17" s="9"/>
    </row>
    <row r="18" spans="1:16" x14ac:dyDescent="0.25">
      <c r="A18" s="2">
        <f>'4014'!A18</f>
        <v>0.72</v>
      </c>
      <c r="B18" s="3">
        <f>'4014'!L18</f>
        <v>-0.83403349211763633</v>
      </c>
      <c r="C18" s="2">
        <f>'4014'!M18</f>
        <v>1.2008474134863455E-2</v>
      </c>
      <c r="D18" s="2">
        <f>'4014'!$G$1</f>
        <v>4014</v>
      </c>
      <c r="H18" s="9"/>
      <c r="I18" s="9"/>
      <c r="J18" s="9"/>
      <c r="K18" s="9"/>
      <c r="L18" s="10"/>
      <c r="M18" s="9"/>
      <c r="N18" s="9"/>
      <c r="O18" s="9"/>
      <c r="P18" s="9"/>
    </row>
    <row r="19" spans="1:16" x14ac:dyDescent="0.25">
      <c r="A19" s="2">
        <f>'4997'!A2</f>
        <v>0.48799999999999999</v>
      </c>
      <c r="B19" s="3">
        <f>'4997'!L2</f>
        <v>1.2004782256237252</v>
      </c>
      <c r="C19" s="2">
        <f>'4997'!M2</f>
        <v>4.7813980937532211E-2</v>
      </c>
      <c r="D19" s="2">
        <f>'4997'!$G$1</f>
        <v>4997</v>
      </c>
      <c r="H19" s="9"/>
      <c r="I19" s="9"/>
      <c r="J19" s="9"/>
      <c r="K19" s="9"/>
      <c r="L19" s="9"/>
      <c r="M19" s="9"/>
      <c r="N19" s="9"/>
      <c r="O19" s="9"/>
      <c r="P19" s="9"/>
    </row>
    <row r="20" spans="1:16" x14ac:dyDescent="0.25">
      <c r="A20" s="2">
        <f>'4997'!A3</f>
        <v>0.52</v>
      </c>
      <c r="B20" s="3">
        <f>'4997'!L3</f>
        <v>0.89593212708791292</v>
      </c>
      <c r="C20" s="2">
        <f>'4997'!M3</f>
        <v>4.4521401411893757E-2</v>
      </c>
      <c r="D20" s="2">
        <f>'4997'!$G$1</f>
        <v>4997</v>
      </c>
      <c r="H20" s="9"/>
      <c r="I20" s="9"/>
      <c r="J20" s="9"/>
      <c r="K20" s="9"/>
      <c r="L20" s="9"/>
      <c r="M20" s="9"/>
      <c r="N20" s="9"/>
      <c r="O20" s="9"/>
      <c r="P20" s="9"/>
    </row>
    <row r="21" spans="1:16" x14ac:dyDescent="0.25">
      <c r="A21" s="2">
        <f>'4997'!A4</f>
        <v>0.54800000000000004</v>
      </c>
      <c r="B21" s="3">
        <f>'4997'!L4</f>
        <v>0.63742206670286305</v>
      </c>
      <c r="C21" s="2">
        <f>'4997'!M4</f>
        <v>4.1515133149354316E-2</v>
      </c>
      <c r="D21" s="2">
        <f>'4997'!$G$1</f>
        <v>4997</v>
      </c>
      <c r="H21" s="9"/>
      <c r="I21" s="9"/>
      <c r="J21" s="9"/>
      <c r="K21" s="9"/>
      <c r="L21" s="9"/>
      <c r="M21" s="9"/>
      <c r="N21" s="9"/>
      <c r="O21" s="9"/>
      <c r="P21" s="9"/>
    </row>
    <row r="22" spans="1:16" x14ac:dyDescent="0.25">
      <c r="A22" s="2">
        <f>'4997'!A5</f>
        <v>0.57599999999999996</v>
      </c>
      <c r="B22" s="3">
        <f>'4997'!L5</f>
        <v>0.34704090298266987</v>
      </c>
      <c r="C22" s="2">
        <f>'4997'!M5</f>
        <v>3.822255362371587E-2</v>
      </c>
      <c r="D22" s="2">
        <f>'4997'!$G$1</f>
        <v>4997</v>
      </c>
      <c r="H22" s="9"/>
      <c r="I22" s="9"/>
      <c r="J22" s="9"/>
      <c r="K22" s="9"/>
      <c r="L22" s="9"/>
      <c r="M22" s="11"/>
      <c r="N22" s="9"/>
      <c r="O22" s="9"/>
      <c r="P22" s="9"/>
    </row>
    <row r="23" spans="1:16" x14ac:dyDescent="0.25">
      <c r="A23" s="2">
        <f>'4997'!A6</f>
        <v>0.60499999999999998</v>
      </c>
      <c r="B23" s="3">
        <f>'4997'!L6</f>
        <v>4.249480444685752E-2</v>
      </c>
      <c r="C23" s="2">
        <f>'4997'!M6</f>
        <v>3.4643662834978432E-2</v>
      </c>
      <c r="D23" s="2">
        <f>'4997'!$G$1</f>
        <v>4997</v>
      </c>
      <c r="H23" s="9"/>
      <c r="I23" s="9"/>
      <c r="J23" s="9"/>
      <c r="K23" s="9"/>
      <c r="L23" s="9"/>
      <c r="M23" s="11"/>
      <c r="N23" s="9"/>
      <c r="O23" s="9"/>
      <c r="P23" s="9"/>
    </row>
    <row r="24" spans="1:16" x14ac:dyDescent="0.25">
      <c r="A24" s="2">
        <f>'4997'!A7</f>
        <v>0.63700000000000001</v>
      </c>
      <c r="B24" s="3">
        <f>'4997'!L7</f>
        <v>-0.29038116372019313</v>
      </c>
      <c r="C24" s="2">
        <f>'4997'!M7</f>
        <v>3.0778460783141989E-2</v>
      </c>
      <c r="D24" s="2">
        <f>'4997'!$G$1</f>
        <v>4997</v>
      </c>
      <c r="H24" s="9"/>
      <c r="I24" s="9"/>
      <c r="J24" s="9"/>
      <c r="K24" s="9"/>
      <c r="L24" s="9"/>
      <c r="M24" s="9"/>
      <c r="N24" s="9"/>
      <c r="O24" s="9"/>
      <c r="P24" s="9"/>
    </row>
    <row r="25" spans="1:16" x14ac:dyDescent="0.25">
      <c r="A25" s="2">
        <f>'4997'!A8</f>
        <v>0.66200000000000003</v>
      </c>
      <c r="B25" s="3">
        <f>'4997'!L8</f>
        <v>-0.57367986003257665</v>
      </c>
      <c r="C25" s="2">
        <f>'4997'!M8</f>
        <v>2.7342725625954044E-2</v>
      </c>
      <c r="D25" s="2">
        <f>'4997'!$G$1</f>
        <v>4997</v>
      </c>
      <c r="H25" s="9"/>
      <c r="I25" s="9"/>
      <c r="J25" s="9"/>
      <c r="K25" s="9"/>
      <c r="L25" s="9"/>
      <c r="M25" s="9"/>
      <c r="N25" s="9"/>
      <c r="O25" s="9"/>
      <c r="P25" s="9"/>
    </row>
    <row r="26" spans="1:16" x14ac:dyDescent="0.25">
      <c r="A26" s="2">
        <f>'4997'!A9</f>
        <v>0.69299999999999995</v>
      </c>
      <c r="B26" s="3">
        <f>'4997'!L9</f>
        <v>-0.91363829560743692</v>
      </c>
      <c r="C26" s="2">
        <f>'4997'!M9</f>
        <v>2.3048056679469117E-2</v>
      </c>
      <c r="D26" s="2">
        <f>'4997'!$G$1</f>
        <v>4997</v>
      </c>
      <c r="H26" s="9"/>
      <c r="I26" s="9"/>
      <c r="J26" s="9"/>
      <c r="K26" s="9"/>
      <c r="L26" s="9"/>
      <c r="M26" s="9"/>
      <c r="N26" s="9"/>
      <c r="O26" s="9"/>
      <c r="P26" s="9"/>
    </row>
    <row r="27" spans="1:16" x14ac:dyDescent="0.25">
      <c r="A27" s="2">
        <f>'4997'!A10</f>
        <v>0.72</v>
      </c>
      <c r="B27" s="3">
        <f>'4997'!L10</f>
        <v>-1.2181843941432493</v>
      </c>
      <c r="C27" s="2">
        <f>'4997'!M10</f>
        <v>1.9182854627632685E-2</v>
      </c>
      <c r="D27" s="2">
        <f>'4997'!$G$1</f>
        <v>4997</v>
      </c>
      <c r="H27" s="9"/>
      <c r="I27" s="9"/>
      <c r="J27" s="9"/>
      <c r="K27" s="9"/>
      <c r="L27" s="9"/>
      <c r="M27" s="9"/>
      <c r="N27" s="9"/>
      <c r="O27" s="9"/>
      <c r="P27" s="9"/>
    </row>
    <row r="28" spans="1:16" x14ac:dyDescent="0.25">
      <c r="A28" s="2">
        <f>'4997'!A11</f>
        <v>0.75</v>
      </c>
      <c r="B28" s="3">
        <f>'4997'!L11</f>
        <v>-1.5758489982376338</v>
      </c>
      <c r="C28" s="2">
        <f>'4997'!M11</f>
        <v>1.4888185681147749E-2</v>
      </c>
      <c r="D28" s="2">
        <f>'4997'!$G$1</f>
        <v>4997</v>
      </c>
      <c r="H28" s="9"/>
      <c r="I28" s="12"/>
      <c r="J28" s="12"/>
      <c r="K28" s="9"/>
      <c r="L28" s="10"/>
      <c r="M28" s="10"/>
      <c r="N28" s="12"/>
      <c r="O28" s="9"/>
      <c r="P28" s="9"/>
    </row>
    <row r="29" spans="1:16" x14ac:dyDescent="0.25">
      <c r="A29" s="2">
        <f>'4997'!A12</f>
        <v>0.78300000000000003</v>
      </c>
      <c r="B29" s="3">
        <f>'4997'!L12</f>
        <v>-1.961843471963256</v>
      </c>
      <c r="C29" s="2">
        <f>'4997'!M12</f>
        <v>1.0450361103113325E-2</v>
      </c>
      <c r="D29" s="2">
        <f>'4997'!$G$1</f>
        <v>4997</v>
      </c>
      <c r="H29" s="9"/>
      <c r="I29" s="9"/>
      <c r="J29" s="9"/>
      <c r="K29" s="9"/>
      <c r="L29" s="9"/>
      <c r="M29" s="9"/>
      <c r="N29" s="9"/>
      <c r="O29" s="9"/>
      <c r="P29" s="9"/>
    </row>
    <row r="30" spans="1:16" x14ac:dyDescent="0.25">
      <c r="A30" s="2">
        <f>'5018'!A2</f>
        <v>0.115</v>
      </c>
      <c r="B30" s="3">
        <f>'5018'!L2</f>
        <v>3.7353292494667816</v>
      </c>
      <c r="C30" s="2">
        <f>'5018'!M2</f>
        <v>6.8716021207052946E-2</v>
      </c>
      <c r="D30" s="2">
        <f>'5018'!$G$1</f>
        <v>5018</v>
      </c>
      <c r="H30" s="9"/>
      <c r="I30" s="9"/>
      <c r="J30" s="9"/>
      <c r="K30" s="9"/>
      <c r="L30" s="9"/>
      <c r="M30" s="9"/>
      <c r="N30" s="9"/>
      <c r="O30" s="9"/>
      <c r="P30" s="9"/>
    </row>
    <row r="31" spans="1:16" x14ac:dyDescent="0.25">
      <c r="A31" s="2">
        <f>'5018'!A3</f>
        <v>0.14299999999999999</v>
      </c>
      <c r="B31" s="3">
        <f>'5018'!L3</f>
        <v>3.5853447098132389</v>
      </c>
      <c r="C31" s="2">
        <f>'5018'!M3</f>
        <v>6.8138575650691161E-2</v>
      </c>
      <c r="D31" s="2">
        <f>'5018'!$G$1</f>
        <v>5018</v>
      </c>
    </row>
    <row r="32" spans="1:16" x14ac:dyDescent="0.25">
      <c r="A32" s="2">
        <f>'5018'!A4</f>
        <v>0.17299999999999999</v>
      </c>
      <c r="B32" s="3">
        <f>'5018'!L4</f>
        <v>3.4139338073520484</v>
      </c>
      <c r="C32" s="2">
        <f>'5018'!M4</f>
        <v>6.7128045927058025E-2</v>
      </c>
      <c r="D32" s="2">
        <f>'5018'!$G$1</f>
        <v>5018</v>
      </c>
    </row>
    <row r="33" spans="1:4" x14ac:dyDescent="0.25">
      <c r="A33" s="2">
        <f>'5018'!A5</f>
        <v>0.19900000000000001</v>
      </c>
      <c r="B33" s="3">
        <f>'5018'!L5</f>
        <v>3.2639492676985067</v>
      </c>
      <c r="C33" s="2">
        <f>'5018'!M5</f>
        <v>6.6261877592515353E-2</v>
      </c>
      <c r="D33" s="2">
        <f>'5018'!$G$1</f>
        <v>5018</v>
      </c>
    </row>
    <row r="34" spans="1:4" x14ac:dyDescent="0.25">
      <c r="A34" s="2">
        <f>'5018'!A6</f>
        <v>0.23100000000000001</v>
      </c>
      <c r="B34" s="3">
        <f>'5018'!L6</f>
        <v>3.0853962443014331</v>
      </c>
      <c r="C34" s="2">
        <f>'5018'!M6</f>
        <v>6.5251347868882204E-2</v>
      </c>
      <c r="D34" s="2">
        <f>'5018'!$G$1</f>
        <v>5018</v>
      </c>
    </row>
    <row r="35" spans="1:4" x14ac:dyDescent="0.25">
      <c r="A35" s="2">
        <f>'5018'!A7</f>
        <v>0.26300000000000001</v>
      </c>
      <c r="B35" s="3">
        <f>'5018'!L7</f>
        <v>2.8854168580967103</v>
      </c>
      <c r="C35" s="2">
        <f>'5018'!M7</f>
        <v>6.3807733977977732E-2</v>
      </c>
      <c r="D35" s="2">
        <f>'5018'!$G$1</f>
        <v>5018</v>
      </c>
    </row>
    <row r="36" spans="1:4" x14ac:dyDescent="0.25">
      <c r="A36" s="2">
        <f>'5018'!A8</f>
        <v>0.28999999999999998</v>
      </c>
      <c r="B36" s="3">
        <f>'5018'!L8</f>
        <v>2.7140059556355203</v>
      </c>
      <c r="C36" s="2">
        <f>'5018'!M8</f>
        <v>6.250848147616371E-2</v>
      </c>
      <c r="D36" s="2">
        <f>'5018'!$G$1</f>
        <v>5018</v>
      </c>
    </row>
    <row r="37" spans="1:4" x14ac:dyDescent="0.25">
      <c r="A37" s="2">
        <f>'5018'!A9</f>
        <v>0.31900000000000001</v>
      </c>
      <c r="B37" s="3">
        <f>'5018'!L9</f>
        <v>2.5390239927063876</v>
      </c>
      <c r="C37" s="2">
        <f>'5018'!M9</f>
        <v>6.1497951752530575E-2</v>
      </c>
      <c r="D37" s="2">
        <f>'5018'!$G$1</f>
        <v>5018</v>
      </c>
    </row>
    <row r="38" spans="1:4" x14ac:dyDescent="0.25">
      <c r="A38" s="2">
        <f>'5018'!A10</f>
        <v>0.35</v>
      </c>
      <c r="B38" s="3">
        <f>'5018'!L10</f>
        <v>2.317618243694016</v>
      </c>
      <c r="C38" s="2">
        <f>'5018'!M10</f>
        <v>5.9621253694354767E-2</v>
      </c>
      <c r="D38" s="2">
        <f>'5018'!$G$1</f>
        <v>5018</v>
      </c>
    </row>
    <row r="39" spans="1:4" x14ac:dyDescent="0.25">
      <c r="A39" s="2">
        <f>'5018'!A11</f>
        <v>0.377</v>
      </c>
      <c r="B39" s="3">
        <f>'5018'!L11</f>
        <v>2.1247809784251763</v>
      </c>
      <c r="C39" s="2">
        <f>'5018'!M11</f>
        <v>5.7888917025269389E-2</v>
      </c>
      <c r="D39" s="2">
        <f>'5018'!$G$1</f>
        <v>5018</v>
      </c>
    </row>
    <row r="40" spans="1:4" x14ac:dyDescent="0.25">
      <c r="A40" s="2">
        <f>'5018'!A12</f>
        <v>0.40799999999999997</v>
      </c>
      <c r="B40" s="3">
        <f>'5018'!L12</f>
        <v>1.8783778061372149</v>
      </c>
      <c r="C40" s="2">
        <f>'5018'!M12</f>
        <v>5.5290412021641346E-2</v>
      </c>
      <c r="D40" s="2">
        <f>'5018'!$G$1</f>
        <v>5018</v>
      </c>
    </row>
    <row r="41" spans="1:4" x14ac:dyDescent="0.25">
      <c r="A41" s="2">
        <f>'5018'!A13</f>
        <v>0.432</v>
      </c>
      <c r="B41" s="3">
        <f>'5018'!L13</f>
        <v>1.6926826618042583</v>
      </c>
      <c r="C41" s="2">
        <f>'5018'!M13</f>
        <v>5.3413713963465524E-2</v>
      </c>
      <c r="D41" s="2">
        <f>'5018'!$G$1</f>
        <v>5018</v>
      </c>
    </row>
    <row r="42" spans="1:4" x14ac:dyDescent="0.25">
      <c r="A42" s="2">
        <f>'5018'!A14</f>
        <v>0.46100000000000002</v>
      </c>
      <c r="B42" s="3">
        <f>'5018'!L14</f>
        <v>1.449850549984238</v>
      </c>
      <c r="C42" s="2">
        <f>'5018'!M14</f>
        <v>5.0670847570747017E-2</v>
      </c>
      <c r="D42" s="2">
        <f>'5018'!$G$1</f>
        <v>5018</v>
      </c>
    </row>
    <row r="43" spans="1:4" x14ac:dyDescent="0.25">
      <c r="A43" s="2">
        <f>'5018'!A15</f>
        <v>0.48699999999999999</v>
      </c>
      <c r="B43" s="3">
        <f>'5018'!L15</f>
        <v>1.2213026800359839</v>
      </c>
      <c r="C43" s="2">
        <f>'5018'!M15</f>
        <v>4.8216703956209417E-2</v>
      </c>
      <c r="D43" s="2">
        <f>'5018'!$G$1</f>
        <v>5018</v>
      </c>
    </row>
    <row r="44" spans="1:4" x14ac:dyDescent="0.25">
      <c r="A44" s="2">
        <f>'5018'!A16</f>
        <v>0.52</v>
      </c>
      <c r="B44" s="3">
        <f>'5018'!L16</f>
        <v>0.92133360072890025</v>
      </c>
      <c r="C44" s="2">
        <f>'5018'!M16</f>
        <v>4.5040753396219567E-2</v>
      </c>
      <c r="D44" s="2">
        <f>'5018'!$G$1</f>
        <v>5018</v>
      </c>
    </row>
    <row r="45" spans="1:4" x14ac:dyDescent="0.25">
      <c r="A45" s="2">
        <f>'5018'!A17</f>
        <v>0.54800000000000004</v>
      </c>
      <c r="B45" s="3">
        <f>'5018'!L17</f>
        <v>0.64993300516534824</v>
      </c>
      <c r="C45" s="2">
        <f>'5018'!M17</f>
        <v>4.2009164225320181E-2</v>
      </c>
      <c r="D45" s="2">
        <f>'5018'!$G$1</f>
        <v>5018</v>
      </c>
    </row>
    <row r="46" spans="1:4" x14ac:dyDescent="0.25">
      <c r="A46" s="2">
        <f>'5018'!A18</f>
        <v>0.57599999999999996</v>
      </c>
      <c r="B46" s="3">
        <f>'5018'!L18</f>
        <v>0.35710604679414737</v>
      </c>
      <c r="C46" s="2">
        <f>'5018'!M18</f>
        <v>3.8688852276239902E-2</v>
      </c>
      <c r="D46" s="2">
        <f>'5018'!$G$1</f>
        <v>5018</v>
      </c>
    </row>
    <row r="47" spans="1:4" x14ac:dyDescent="0.25">
      <c r="A47" s="2">
        <f>'6020'!A2</f>
        <v>0.40799999999999997</v>
      </c>
      <c r="B47" s="3">
        <f>'6020'!L2</f>
        <v>2.8421958692691778</v>
      </c>
      <c r="C47" s="2">
        <f>'6020'!M2</f>
        <v>8.248466741817137E-2</v>
      </c>
      <c r="D47" s="2">
        <f>'6020'!$G$1</f>
        <v>6020</v>
      </c>
    </row>
    <row r="48" spans="1:4" x14ac:dyDescent="0.25">
      <c r="A48" s="2">
        <f>'6020'!A3</f>
        <v>0.433</v>
      </c>
      <c r="B48" s="3">
        <f>'6020'!L3</f>
        <v>2.5697973501529643</v>
      </c>
      <c r="C48" s="2">
        <f>'6020'!M3</f>
        <v>7.9575888214507895E-2</v>
      </c>
      <c r="D48" s="2">
        <f>'6020'!$G$1</f>
        <v>6020</v>
      </c>
    </row>
    <row r="49" spans="1:4" x14ac:dyDescent="0.25">
      <c r="A49" s="2">
        <f>'6020'!A4</f>
        <v>0.45800000000000002</v>
      </c>
      <c r="B49" s="3">
        <f>'6020'!L4</f>
        <v>2.2511424787339962</v>
      </c>
      <c r="C49" s="2">
        <f>'6020'!M4</f>
        <v>7.6043799181487973E-2</v>
      </c>
      <c r="D49" s="2">
        <f>'6020'!$G$1</f>
        <v>6020</v>
      </c>
    </row>
    <row r="50" spans="1:4" x14ac:dyDescent="0.25">
      <c r="A50" s="2">
        <f>'6020'!A5</f>
        <v>0.48</v>
      </c>
      <c r="B50" s="3">
        <f>'6020'!L5</f>
        <v>1.9787439596177816</v>
      </c>
      <c r="C50" s="2">
        <f>'6020'!M5</f>
        <v>7.2927250034705682E-2</v>
      </c>
      <c r="D50" s="2">
        <f>'6020'!$G$1</f>
        <v>6020</v>
      </c>
    </row>
    <row r="51" spans="1:4" x14ac:dyDescent="0.25">
      <c r="A51" s="2">
        <f>'6020'!A6</f>
        <v>0.50800000000000001</v>
      </c>
      <c r="B51" s="3">
        <f>'6020'!L6</f>
        <v>1.6138327358960611</v>
      </c>
      <c r="C51" s="2">
        <f>'6020'!M6</f>
        <v>6.8771851172329285E-2</v>
      </c>
      <c r="D51" s="2">
        <f>'6020'!$G$1</f>
        <v>6020</v>
      </c>
    </row>
    <row r="52" spans="1:4" x14ac:dyDescent="0.25">
      <c r="A52" s="2">
        <f>'6020'!A7</f>
        <v>0.52900000000000003</v>
      </c>
      <c r="B52" s="3">
        <f>'6020'!L7</f>
        <v>1.3260154326789295</v>
      </c>
      <c r="C52" s="2">
        <f>'6020'!M7</f>
        <v>6.5447532082428192E-2</v>
      </c>
      <c r="D52" s="2">
        <f>'6020'!$G$1</f>
        <v>6020</v>
      </c>
    </row>
    <row r="53" spans="1:4" x14ac:dyDescent="0.25">
      <c r="A53" s="2">
        <f>'6020'!A8</f>
        <v>0.55200000000000005</v>
      </c>
      <c r="B53" s="3">
        <f>'6020'!L8</f>
        <v>1.0022209665596558</v>
      </c>
      <c r="C53" s="2">
        <f>'6020'!M8</f>
        <v>6.1707673106289419E-2</v>
      </c>
      <c r="D53" s="2">
        <f>'6020'!$G$1</f>
        <v>6020</v>
      </c>
    </row>
    <row r="54" spans="1:4" x14ac:dyDescent="0.25">
      <c r="A54" s="2">
        <f>'6020'!A9</f>
        <v>0.57499999999999996</v>
      </c>
      <c r="B54" s="3">
        <f>'6020'!L9</f>
        <v>0.65786812163915875</v>
      </c>
      <c r="C54" s="2">
        <f>'6020'!M9</f>
        <v>5.7967814130150674E-2</v>
      </c>
      <c r="D54" s="2">
        <f>'6020'!$G$1</f>
        <v>6020</v>
      </c>
    </row>
    <row r="55" spans="1:4" x14ac:dyDescent="0.25">
      <c r="A55" s="2">
        <f>'6020'!A10</f>
        <v>0.60199999999999998</v>
      </c>
      <c r="B55" s="3">
        <f>'6020'!L10</f>
        <v>0.23642135621407268</v>
      </c>
      <c r="C55" s="2">
        <f>'6020'!M10</f>
        <v>5.2773565552180178E-2</v>
      </c>
      <c r="D55" s="2">
        <f>'6020'!$G$1</f>
        <v>6020</v>
      </c>
    </row>
    <row r="56" spans="1:4" x14ac:dyDescent="0.25">
      <c r="A56" s="2">
        <f>'6020'!A11</f>
        <v>0.623</v>
      </c>
      <c r="B56" s="3">
        <f>'6020'!L11</f>
        <v>-9.7652299305812609E-2</v>
      </c>
      <c r="C56" s="2">
        <f>'6020'!M11</f>
        <v>4.8618166689803774E-2</v>
      </c>
      <c r="D56" s="2">
        <f>'6020'!$G$1</f>
        <v>6020</v>
      </c>
    </row>
    <row r="57" spans="1:4" x14ac:dyDescent="0.25">
      <c r="A57" s="2">
        <f>'6020'!A12</f>
        <v>0.65200000000000002</v>
      </c>
      <c r="B57" s="3">
        <f>'6020'!L12</f>
        <v>-0.565355417033652</v>
      </c>
      <c r="C57" s="2">
        <f>'6020'!M12</f>
        <v>4.300837822559566E-2</v>
      </c>
      <c r="D57" s="2">
        <f>'6020'!$G$1</f>
        <v>6020</v>
      </c>
    </row>
    <row r="58" spans="1:4" x14ac:dyDescent="0.25">
      <c r="A58" s="2">
        <f>'6020'!A13</f>
        <v>0.67200000000000004</v>
      </c>
      <c r="B58" s="3">
        <f>'6020'!L13</f>
        <v>-0.87887069375231353</v>
      </c>
      <c r="C58" s="2">
        <f>'6020'!M13</f>
        <v>3.9268519249456915E-2</v>
      </c>
      <c r="D58" s="2">
        <f>'6020'!$G$1</f>
        <v>6020</v>
      </c>
    </row>
    <row r="59" spans="1:4" x14ac:dyDescent="0.25">
      <c r="A59" s="2">
        <f>'6020'!A14</f>
        <v>0.70099999999999996</v>
      </c>
      <c r="B59" s="3">
        <f>'6020'!L14</f>
        <v>-1.3619925955810706</v>
      </c>
      <c r="C59" s="2">
        <f>'6020'!M14</f>
        <v>3.3243190899011135E-2</v>
      </c>
      <c r="D59" s="2">
        <f>'6020'!$G$1</f>
        <v>6020</v>
      </c>
    </row>
    <row r="60" spans="1:4" x14ac:dyDescent="0.25">
      <c r="A60" s="2">
        <f>'6020'!A15</f>
        <v>0.72</v>
      </c>
      <c r="B60" s="3">
        <f>'6020'!L15</f>
        <v>-1.6703682775994266</v>
      </c>
      <c r="C60" s="2">
        <f>'6020'!M15</f>
        <v>2.9295561979753568E-2</v>
      </c>
      <c r="D60" s="2">
        <f>'6020'!$G$1</f>
        <v>6020</v>
      </c>
    </row>
    <row r="61" spans="1:4" x14ac:dyDescent="0.25">
      <c r="A61" s="2">
        <f>'6020'!A16</f>
        <v>0.749</v>
      </c>
      <c r="B61" s="3">
        <f>'6020'!L16</f>
        <v>-2.1637693688287958</v>
      </c>
      <c r="C61" s="2">
        <f>'6020'!M16</f>
        <v>2.3270233629307791E-2</v>
      </c>
      <c r="D61" s="2">
        <f>'6020'!$G$1</f>
        <v>6020</v>
      </c>
    </row>
    <row r="62" spans="1:4" x14ac:dyDescent="0.25">
      <c r="A62" s="2">
        <f>'6020'!A17</f>
        <v>0.77500000000000002</v>
      </c>
      <c r="B62" s="3">
        <f>'6020'!L17</f>
        <v>-2.631472486556635</v>
      </c>
      <c r="C62" s="2">
        <f>'6020'!M17</f>
        <v>1.7660445165099667E-2</v>
      </c>
      <c r="D62" s="2">
        <f>'6020'!$G$1</f>
        <v>6020</v>
      </c>
    </row>
    <row r="63" spans="1:4" x14ac:dyDescent="0.25">
      <c r="A63" s="2">
        <f>'6023'!A2</f>
        <v>9.5000000000000001E-2</v>
      </c>
      <c r="B63" s="3">
        <f>'6023'!L2</f>
        <v>5.864979085800365</v>
      </c>
      <c r="C63" s="2">
        <f>'6023'!M2</f>
        <v>0.10627628501547348</v>
      </c>
      <c r="D63" s="2">
        <f>'6023'!$G$1</f>
        <v>6023</v>
      </c>
    </row>
    <row r="64" spans="1:4" x14ac:dyDescent="0.25">
      <c r="A64" s="2">
        <f>'6023'!A3</f>
        <v>0.121</v>
      </c>
      <c r="B64" s="3">
        <f>'6023'!L3</f>
        <v>5.6591903459477209</v>
      </c>
      <c r="C64" s="2">
        <f>'6023'!M3</f>
        <v>0.10544437671789639</v>
      </c>
      <c r="D64" s="2">
        <f>'6023'!$G$1</f>
        <v>6023</v>
      </c>
    </row>
    <row r="65" spans="1:4" x14ac:dyDescent="0.25">
      <c r="A65" s="2">
        <f>'6023'!A4</f>
        <v>0.14599999999999999</v>
      </c>
      <c r="B65" s="3">
        <f>'6023'!L4</f>
        <v>5.4122438581245467</v>
      </c>
      <c r="C65" s="2">
        <f>'6023'!M4</f>
        <v>0.10357258304834795</v>
      </c>
      <c r="D65" s="2">
        <f>'6023'!$G$1</f>
        <v>6023</v>
      </c>
    </row>
    <row r="66" spans="1:4" x14ac:dyDescent="0.25">
      <c r="A66" s="2">
        <f>'6023'!A5</f>
        <v>0.16900000000000001</v>
      </c>
      <c r="B66" s="3">
        <f>'6023'!L5</f>
        <v>5.2013103997755863</v>
      </c>
      <c r="C66" s="2">
        <f>'6023'!M5</f>
        <v>0.10211674352758802</v>
      </c>
      <c r="D66" s="2">
        <f>'6023'!$G$1</f>
        <v>6023</v>
      </c>
    </row>
    <row r="67" spans="1:4" x14ac:dyDescent="0.25">
      <c r="A67" s="2">
        <f>'6023'!A6</f>
        <v>0.192</v>
      </c>
      <c r="B67" s="3">
        <f>'6023'!L6</f>
        <v>4.9852322229303097</v>
      </c>
      <c r="C67" s="2">
        <f>'6023'!M6</f>
        <v>0.10066090400682812</v>
      </c>
      <c r="D67" s="2">
        <f>'6023'!$G$1</f>
        <v>6023</v>
      </c>
    </row>
    <row r="68" spans="1:4" x14ac:dyDescent="0.25">
      <c r="A68" s="2">
        <f>'6023'!A7</f>
        <v>0.217</v>
      </c>
      <c r="B68" s="3">
        <f>'6023'!L7</f>
        <v>4.7434304536034526</v>
      </c>
      <c r="C68" s="2">
        <f>'6023'!M7</f>
        <v>9.8789110337279662E-2</v>
      </c>
      <c r="D68" s="2">
        <f>'6023'!$G$1</f>
        <v>6023</v>
      </c>
    </row>
    <row r="69" spans="1:4" x14ac:dyDescent="0.25">
      <c r="A69" s="2">
        <f>'6023'!A8</f>
        <v>0.24</v>
      </c>
      <c r="B69" s="3">
        <f>'6023'!L8</f>
        <v>4.5582205877360726</v>
      </c>
      <c r="C69" s="2">
        <f>'6023'!M8</f>
        <v>9.7541247890914035E-2</v>
      </c>
      <c r="D69" s="2">
        <f>'6023'!$G$1</f>
        <v>6023</v>
      </c>
    </row>
    <row r="70" spans="1:4" x14ac:dyDescent="0.25">
      <c r="A70" s="2">
        <f>'6023'!A9</f>
        <v>0.26700000000000002</v>
      </c>
      <c r="B70" s="3">
        <f>'6023'!L9</f>
        <v>4.2958399444239506</v>
      </c>
      <c r="C70" s="2">
        <f>'6023'!M9</f>
        <v>9.5461477146971313E-2</v>
      </c>
      <c r="D70" s="2">
        <f>'6023'!$G$1</f>
        <v>6023</v>
      </c>
    </row>
    <row r="71" spans="1:4" x14ac:dyDescent="0.25">
      <c r="A71" s="2">
        <f>'6023'!A10</f>
        <v>0.28999999999999998</v>
      </c>
      <c r="B71" s="3">
        <f>'6023'!L10</f>
        <v>4.0900512045713064</v>
      </c>
      <c r="C71" s="2">
        <f>'6023'!M10</f>
        <v>9.4005637626211364E-2</v>
      </c>
      <c r="D71" s="2">
        <f>'6023'!$G$1</f>
        <v>6023</v>
      </c>
    </row>
    <row r="72" spans="1:4" x14ac:dyDescent="0.25">
      <c r="A72" s="2">
        <f>'6023'!A11</f>
        <v>0.316</v>
      </c>
      <c r="B72" s="3">
        <f>'6023'!L11</f>
        <v>3.8585388722370815</v>
      </c>
      <c r="C72" s="2">
        <f>'6023'!M11</f>
        <v>9.2341821031057203E-2</v>
      </c>
      <c r="D72" s="2">
        <f>'6023'!$G$1</f>
        <v>6023</v>
      </c>
    </row>
    <row r="73" spans="1:4" x14ac:dyDescent="0.25">
      <c r="A73" s="2">
        <f>'6023'!A12</f>
        <v>0.33400000000000002</v>
      </c>
      <c r="B73" s="3">
        <f>'6023'!L12</f>
        <v>3.6733290063697024</v>
      </c>
      <c r="C73" s="2">
        <f>'6023'!M12</f>
        <v>9.1093958584691548E-2</v>
      </c>
      <c r="D73" s="2">
        <f>'6023'!$G$1</f>
        <v>6023</v>
      </c>
    </row>
    <row r="74" spans="1:4" x14ac:dyDescent="0.25">
      <c r="A74" s="2">
        <f>'6023'!A13</f>
        <v>0.35799999999999998</v>
      </c>
      <c r="B74" s="3">
        <f>'6023'!L13</f>
        <v>3.4212378000502124</v>
      </c>
      <c r="C74" s="2">
        <f>'6023'!M13</f>
        <v>8.8806210766354574E-2</v>
      </c>
      <c r="D74" s="2">
        <f>'6023'!$G$1</f>
        <v>6023</v>
      </c>
    </row>
    <row r="75" spans="1:4" x14ac:dyDescent="0.25">
      <c r="A75" s="2">
        <f>'6023'!A14</f>
        <v>0.38100000000000001</v>
      </c>
      <c r="B75" s="3">
        <f>'6023'!L14</f>
        <v>3.1794360307233558</v>
      </c>
      <c r="C75" s="2">
        <f>'6023'!M14</f>
        <v>8.651846294801753E-2</v>
      </c>
      <c r="D75" s="2">
        <f>'6023'!$G$1</f>
        <v>6023</v>
      </c>
    </row>
    <row r="76" spans="1:4" x14ac:dyDescent="0.25">
      <c r="A76" s="2">
        <f>'6023'!A15</f>
        <v>0.40799999999999997</v>
      </c>
      <c r="B76" s="3">
        <f>'6023'!L15</f>
        <v>2.8707529209443887</v>
      </c>
      <c r="C76" s="2">
        <f>'6023'!M15</f>
        <v>8.2982852683314914E-2</v>
      </c>
      <c r="D76" s="2">
        <f>'6023'!$G$1</f>
        <v>6023</v>
      </c>
    </row>
    <row r="77" spans="1:4" x14ac:dyDescent="0.25">
      <c r="A77" s="2">
        <f>'6023'!A16</f>
        <v>0.43099999999999999</v>
      </c>
      <c r="B77" s="3">
        <f>'6023'!L16</f>
        <v>2.598082840639635</v>
      </c>
      <c r="C77" s="2">
        <f>'6023'!M16</f>
        <v>8.0071173641795099E-2</v>
      </c>
      <c r="D77" s="2">
        <f>'6023'!$G$1</f>
        <v>6023</v>
      </c>
    </row>
    <row r="78" spans="1:4" x14ac:dyDescent="0.25">
      <c r="A78" s="2">
        <f>'6023'!A17</f>
        <v>0.45400000000000001</v>
      </c>
      <c r="B78" s="3">
        <f>'6023'!L17</f>
        <v>2.3254127603348813</v>
      </c>
      <c r="C78" s="2">
        <f>'6023'!M17</f>
        <v>7.6951517525881002E-2</v>
      </c>
      <c r="D78" s="2">
        <f>'6023'!$G$1</f>
        <v>6023</v>
      </c>
    </row>
    <row r="79" spans="1:4" x14ac:dyDescent="0.25">
      <c r="A79" s="2">
        <f>'6023'!A18</f>
        <v>0.47699999999999998</v>
      </c>
      <c r="B79" s="3">
        <f>'6023'!L18</f>
        <v>2.032163806044863</v>
      </c>
      <c r="C79" s="2">
        <f>'6023'!M18</f>
        <v>7.3623884335572626E-2</v>
      </c>
      <c r="D79" s="2">
        <f>'6023'!$G$1</f>
        <v>6023</v>
      </c>
    </row>
    <row r="80" spans="1:4" x14ac:dyDescent="0.25">
      <c r="A80" s="2">
        <f>'6512'!A2</f>
        <v>8.8999999999999996E-2</v>
      </c>
      <c r="B80" s="3">
        <f>'6512'!L2</f>
        <v>7.0424142713504958</v>
      </c>
      <c r="C80" s="2">
        <f>'6512'!M2</f>
        <v>0.12715112615478613</v>
      </c>
      <c r="D80" s="2">
        <f>'6512'!$G$1</f>
        <v>6512</v>
      </c>
    </row>
    <row r="81" spans="1:4" x14ac:dyDescent="0.25">
      <c r="A81" s="2">
        <f>'6512'!A3</f>
        <v>0.112</v>
      </c>
      <c r="B81" s="3">
        <f>'6512'!L3</f>
        <v>6.8499657173938644</v>
      </c>
      <c r="C81" s="2">
        <f>'6512'!M3</f>
        <v>0.12690800736672725</v>
      </c>
      <c r="D81" s="2">
        <f>'6512'!$G$1</f>
        <v>6512</v>
      </c>
    </row>
    <row r="82" spans="1:4" x14ac:dyDescent="0.25">
      <c r="A82" s="2">
        <f>'6512'!A4</f>
        <v>0.13400000000000001</v>
      </c>
      <c r="B82" s="3">
        <f>'6512'!L4</f>
        <v>6.5793349383923525</v>
      </c>
      <c r="C82" s="2">
        <f>'6512'!M4</f>
        <v>0.12447681948613863</v>
      </c>
      <c r="D82" s="2">
        <f>'6512'!$G$1</f>
        <v>6512</v>
      </c>
    </row>
    <row r="83" spans="1:4" x14ac:dyDescent="0.25">
      <c r="A83" s="2">
        <f>'6512'!A5</f>
        <v>0.156</v>
      </c>
      <c r="B83" s="3">
        <f>'6512'!L5</f>
        <v>6.3989144190580074</v>
      </c>
      <c r="C83" s="2">
        <f>'6512'!M5</f>
        <v>0.12423370069807979</v>
      </c>
      <c r="D83" s="2">
        <f>'6512'!$G$1</f>
        <v>6512</v>
      </c>
    </row>
    <row r="84" spans="1:4" x14ac:dyDescent="0.25">
      <c r="A84" s="2">
        <f>'6512'!A6</f>
        <v>0.17599999999999999</v>
      </c>
      <c r="B84" s="3">
        <f>'6512'!L6</f>
        <v>6.1342976573676404</v>
      </c>
      <c r="C84" s="2">
        <f>'6512'!M6</f>
        <v>0.12155939402943228</v>
      </c>
      <c r="D84" s="2">
        <f>'6512'!$G$1</f>
        <v>6512</v>
      </c>
    </row>
    <row r="85" spans="1:4" x14ac:dyDescent="0.25">
      <c r="A85" s="2">
        <f>'6512'!A7</f>
        <v>0.19900000000000001</v>
      </c>
      <c r="B85" s="3">
        <f>'6512'!L7</f>
        <v>5.8817089302995607</v>
      </c>
      <c r="C85" s="2">
        <f>'6512'!M7</f>
        <v>0.11985756251302018</v>
      </c>
      <c r="D85" s="2">
        <f>'6512'!$G$1</f>
        <v>6512</v>
      </c>
    </row>
    <row r="86" spans="1:4" x14ac:dyDescent="0.25">
      <c r="A86" s="2">
        <f>'6512'!A8</f>
        <v>0.22500000000000001</v>
      </c>
      <c r="B86" s="3">
        <f>'6512'!L8</f>
        <v>5.5930360993646113</v>
      </c>
      <c r="C86" s="2">
        <f>'6512'!M8</f>
        <v>0.11742637463243157</v>
      </c>
      <c r="D86" s="2">
        <f>'6512'!$G$1</f>
        <v>6512</v>
      </c>
    </row>
    <row r="87" spans="1:4" x14ac:dyDescent="0.25">
      <c r="A87" s="2">
        <f>'6512'!A9</f>
        <v>0.246</v>
      </c>
      <c r="B87" s="3">
        <f>'6512'!L9</f>
        <v>5.3404473722965333</v>
      </c>
      <c r="C87" s="2">
        <f>'6512'!M9</f>
        <v>0.11548142432796063</v>
      </c>
      <c r="D87" s="2">
        <f>'6512'!$G$1</f>
        <v>6512</v>
      </c>
    </row>
    <row r="88" spans="1:4" x14ac:dyDescent="0.25">
      <c r="A88" s="2">
        <f>'6512'!A10</f>
        <v>0.26600000000000001</v>
      </c>
      <c r="B88" s="3">
        <f>'6512'!L10</f>
        <v>5.0938726625395994</v>
      </c>
      <c r="C88" s="2">
        <f>'6512'!M10</f>
        <v>0.113050236447372</v>
      </c>
      <c r="D88" s="2">
        <f>'6512'!$G$1</f>
        <v>6512</v>
      </c>
    </row>
    <row r="89" spans="1:4" x14ac:dyDescent="0.25">
      <c r="A89" s="2">
        <f>'6512'!A11</f>
        <v>0.28699999999999998</v>
      </c>
      <c r="B89" s="3">
        <f>'6512'!L11</f>
        <v>4.8893960739606772</v>
      </c>
      <c r="C89" s="2">
        <f>'6512'!M11</f>
        <v>0.11183464250707766</v>
      </c>
      <c r="D89" s="2">
        <f>'6512'!$G$1</f>
        <v>6512</v>
      </c>
    </row>
    <row r="90" spans="1:4" x14ac:dyDescent="0.25">
      <c r="A90" s="2">
        <f>'6512'!A12</f>
        <v>0.309</v>
      </c>
      <c r="B90" s="3">
        <f>'6512'!L12</f>
        <v>4.672891450759467</v>
      </c>
      <c r="C90" s="2">
        <f>'6512'!M12</f>
        <v>0.11037592977872449</v>
      </c>
      <c r="D90" s="2">
        <f>'6512'!$G$1</f>
        <v>6512</v>
      </c>
    </row>
    <row r="91" spans="1:4" x14ac:dyDescent="0.25">
      <c r="A91" s="2">
        <f>'6512'!A13</f>
        <v>0.33200000000000002</v>
      </c>
      <c r="B91" s="3">
        <f>'6512'!L13</f>
        <v>4.3842186198245185</v>
      </c>
      <c r="C91" s="2">
        <f>'6512'!M13</f>
        <v>0.10794474189813585</v>
      </c>
      <c r="D91" s="2">
        <f>'6512'!$G$1</f>
        <v>6512</v>
      </c>
    </row>
    <row r="92" spans="1:4" x14ac:dyDescent="0.25">
      <c r="A92" s="2">
        <f>'6512'!A14</f>
        <v>0.35799999999999998</v>
      </c>
      <c r="B92" s="3">
        <f>'6512'!L14</f>
        <v>4.089531771578427</v>
      </c>
      <c r="C92" s="2">
        <f>'6512'!M14</f>
        <v>0.1055135540175472</v>
      </c>
      <c r="D92" s="2">
        <f>'6512'!$G$1</f>
        <v>6512</v>
      </c>
    </row>
    <row r="93" spans="1:4" x14ac:dyDescent="0.25">
      <c r="A93" s="2">
        <f>'6512'!A15</f>
        <v>0.379</v>
      </c>
      <c r="B93" s="3">
        <f>'6512'!L15</f>
        <v>3.8369430445103467</v>
      </c>
      <c r="C93" s="2">
        <f>'6512'!M15</f>
        <v>0.10308236613695858</v>
      </c>
      <c r="D93" s="2">
        <f>'6512'!$G$1</f>
        <v>6512</v>
      </c>
    </row>
    <row r="94" spans="1:4" x14ac:dyDescent="0.25">
      <c r="A94" s="2">
        <f>'6512'!A16</f>
        <v>0.39600000000000002</v>
      </c>
      <c r="B94" s="3">
        <f>'6512'!L16</f>
        <v>3.6084103866868471</v>
      </c>
      <c r="C94" s="2">
        <f>'6512'!M16</f>
        <v>0.10065117825636993</v>
      </c>
      <c r="D94" s="2">
        <f>'6512'!$G$1</f>
        <v>6512</v>
      </c>
    </row>
    <row r="95" spans="1:4" x14ac:dyDescent="0.25">
      <c r="A95" s="2">
        <f>'6512'!A17</f>
        <v>0.42099999999999999</v>
      </c>
      <c r="B95" s="3">
        <f>'6512'!L17</f>
        <v>3.2595973826404512</v>
      </c>
      <c r="C95" s="2">
        <f>'6512'!M17</f>
        <v>9.6761277647428076E-2</v>
      </c>
      <c r="D95" s="2">
        <f>'6512'!$G$1</f>
        <v>6512</v>
      </c>
    </row>
    <row r="96" spans="1:4" x14ac:dyDescent="0.25">
      <c r="A96" s="2">
        <f>'6512'!A18</f>
        <v>0.44500000000000001</v>
      </c>
      <c r="B96" s="3">
        <f>'6512'!L18</f>
        <v>2.9107843785940561</v>
      </c>
      <c r="C96" s="2">
        <f>'6512'!M18</f>
        <v>9.2628258250427364E-2</v>
      </c>
      <c r="D96" s="2">
        <f>'6512'!$G$1</f>
        <v>6512</v>
      </c>
    </row>
    <row r="97" spans="1:4" x14ac:dyDescent="0.25">
      <c r="A97" s="2">
        <f>'6513'!A2</f>
        <v>0.378</v>
      </c>
      <c r="B97" s="3">
        <f>'6513'!L2</f>
        <v>3.802026370242876</v>
      </c>
      <c r="C97" s="2">
        <f>'6513'!M2</f>
        <v>0.10262764084770434</v>
      </c>
      <c r="D97" s="2">
        <f>'6513'!$G$1</f>
        <v>6513</v>
      </c>
    </row>
    <row r="98" spans="1:4" x14ac:dyDescent="0.25">
      <c r="A98" s="2">
        <f>'6513'!A3</f>
        <v>0.4</v>
      </c>
      <c r="B98" s="3">
        <f>'6513'!L3</f>
        <v>3.5132648737687324</v>
      </c>
      <c r="C98" s="2">
        <f>'6513'!M3</f>
        <v>9.946612584528694E-2</v>
      </c>
      <c r="D98" s="2">
        <f>'6513'!$G$1</f>
        <v>6513</v>
      </c>
    </row>
    <row r="99" spans="1:4" x14ac:dyDescent="0.25">
      <c r="A99" s="2">
        <f>'6513'!A4</f>
        <v>0.42099999999999999</v>
      </c>
      <c r="B99" s="3">
        <f>'6513'!L4</f>
        <v>3.2605985643538578</v>
      </c>
      <c r="C99" s="2">
        <f>'6513'!M4</f>
        <v>9.6790997766318332E-2</v>
      </c>
      <c r="D99" s="2">
        <f>'6513'!$G$1</f>
        <v>6513</v>
      </c>
    </row>
    <row r="100" spans="1:4" x14ac:dyDescent="0.25">
      <c r="A100" s="2">
        <f>'6513'!A5</f>
        <v>0.441</v>
      </c>
      <c r="B100" s="3">
        <f>'6513'!L5</f>
        <v>2.9598053388599599</v>
      </c>
      <c r="C100" s="2">
        <f>'6513'!M5</f>
        <v>9.3143095840452036E-2</v>
      </c>
      <c r="D100" s="2">
        <f>'6513'!$G$1</f>
        <v>6513</v>
      </c>
    </row>
    <row r="101" spans="1:4" x14ac:dyDescent="0.25">
      <c r="A101" s="2">
        <f>'6513'!A6</f>
        <v>0.46600000000000003</v>
      </c>
      <c r="B101" s="3">
        <f>'6513'!L6</f>
        <v>2.6108851972870384</v>
      </c>
      <c r="C101" s="2">
        <f>'6513'!M6</f>
        <v>8.9252000452861385E-2</v>
      </c>
      <c r="D101" s="2">
        <f>'6513'!$G$1</f>
        <v>6513</v>
      </c>
    </row>
    <row r="102" spans="1:4" x14ac:dyDescent="0.25">
      <c r="A102" s="2">
        <f>'6513'!A7</f>
        <v>0.48699999999999999</v>
      </c>
      <c r="B102" s="3">
        <f>'6513'!L7</f>
        <v>2.2920443782635056</v>
      </c>
      <c r="C102" s="2">
        <f>'6513'!M7</f>
        <v>8.5360905065270679E-2</v>
      </c>
      <c r="D102" s="2">
        <f>'6513'!$G$1</f>
        <v>6513</v>
      </c>
    </row>
    <row r="103" spans="1:4" x14ac:dyDescent="0.25">
      <c r="A103" s="2">
        <f>'6513'!A8</f>
        <v>0.50700000000000001</v>
      </c>
      <c r="B103" s="3">
        <f>'6513'!L8</f>
        <v>1.9732035592399737</v>
      </c>
      <c r="C103" s="2">
        <f>'6513'!M8</f>
        <v>8.1713003139404425E-2</v>
      </c>
      <c r="D103" s="2">
        <f>'6513'!$G$1</f>
        <v>6513</v>
      </c>
    </row>
    <row r="104" spans="1:4" x14ac:dyDescent="0.25">
      <c r="A104" s="2">
        <f>'6513'!A9</f>
        <v>0.53200000000000003</v>
      </c>
      <c r="B104" s="3">
        <f>'6513'!L9</f>
        <v>1.5761565015880274</v>
      </c>
      <c r="C104" s="2">
        <f>'6513'!M9</f>
        <v>7.7335520828364909E-2</v>
      </c>
      <c r="D104" s="2">
        <f>'6513'!$G$1</f>
        <v>6513</v>
      </c>
    </row>
    <row r="105" spans="1:4" x14ac:dyDescent="0.25">
      <c r="A105" s="2">
        <f>'6513'!A10</f>
        <v>0.55200000000000005</v>
      </c>
      <c r="B105" s="3">
        <f>'6513'!L10</f>
        <v>1.2272363600151055</v>
      </c>
      <c r="C105" s="2">
        <f>'6513'!M10</f>
        <v>7.3444425440774216E-2</v>
      </c>
      <c r="D105" s="2">
        <f>'6513'!$G$1</f>
        <v>6513</v>
      </c>
    </row>
    <row r="106" spans="1:4" x14ac:dyDescent="0.25">
      <c r="A106" s="2">
        <f>'6513'!A11</f>
        <v>0.57999999999999996</v>
      </c>
      <c r="B106" s="3">
        <f>'6513'!L11</f>
        <v>0.72791960569523406</v>
      </c>
      <c r="C106" s="2">
        <f>'6513'!M11</f>
        <v>6.7364588897663766E-2</v>
      </c>
      <c r="D106" s="2">
        <f>'6513'!$G$1</f>
        <v>6513</v>
      </c>
    </row>
    <row r="107" spans="1:4" x14ac:dyDescent="0.25">
      <c r="A107" s="2">
        <f>'6513'!A12</f>
        <v>0.6</v>
      </c>
      <c r="B107" s="3">
        <f>'6513'!L12</f>
        <v>0.37899946412231195</v>
      </c>
      <c r="C107" s="2">
        <f>'6513'!M12</f>
        <v>6.3230300048348662E-2</v>
      </c>
      <c r="D107" s="2">
        <f>'6513'!$G$1</f>
        <v>6513</v>
      </c>
    </row>
    <row r="108" spans="1:4" x14ac:dyDescent="0.25">
      <c r="A108" s="2">
        <f>'6513'!A13</f>
        <v>0.61899999999999999</v>
      </c>
      <c r="B108" s="3">
        <f>'6513'!L13</f>
        <v>1.2031729019755934E-2</v>
      </c>
      <c r="C108" s="2">
        <f>'6513'!M13</f>
        <v>5.8852817737309132E-2</v>
      </c>
      <c r="D108" s="2">
        <f>'6513'!$G$1</f>
        <v>6513</v>
      </c>
    </row>
    <row r="109" spans="1:4" x14ac:dyDescent="0.25">
      <c r="A109" s="2">
        <f>'6513'!A14</f>
        <v>0.64600000000000002</v>
      </c>
      <c r="B109" s="3">
        <f>'6513'!L14</f>
        <v>-0.49330088980999343</v>
      </c>
      <c r="C109" s="2">
        <f>'6513'!M14</f>
        <v>5.2772981194198702E-2</v>
      </c>
      <c r="D109" s="2">
        <f>'6513'!$G$1</f>
        <v>6513</v>
      </c>
    </row>
    <row r="110" spans="1:4" x14ac:dyDescent="0.25">
      <c r="A110" s="2">
        <f>'6513'!A15</f>
        <v>0.66600000000000004</v>
      </c>
      <c r="B110" s="3">
        <f>'6513'!L15</f>
        <v>-0.86026862491254918</v>
      </c>
      <c r="C110" s="2">
        <f>'6513'!M15</f>
        <v>4.7909111959710322E-2</v>
      </c>
      <c r="D110" s="2">
        <f>'6513'!$G$1</f>
        <v>6513</v>
      </c>
    </row>
    <row r="111" spans="1:4" x14ac:dyDescent="0.25">
      <c r="A111" s="2">
        <f>'6513'!A16</f>
        <v>0.69199999999999995</v>
      </c>
      <c r="B111" s="3">
        <f>'6513'!L16</f>
        <v>-1.3716171082521766</v>
      </c>
      <c r="C111" s="2">
        <f>'6513'!M16</f>
        <v>4.1829275416599865E-2</v>
      </c>
      <c r="D111" s="2">
        <f>'6513'!$G$1</f>
        <v>6513</v>
      </c>
    </row>
    <row r="112" spans="1:4" x14ac:dyDescent="0.25">
      <c r="A112" s="2">
        <f>'6513'!A17</f>
        <v>0.70899999999999996</v>
      </c>
      <c r="B112" s="3">
        <f>'6513'!L17</f>
        <v>-1.6964737917855865</v>
      </c>
      <c r="C112" s="2">
        <f>'6513'!M17</f>
        <v>3.7694986567284781E-2</v>
      </c>
      <c r="D112" s="2">
        <f>'6513'!$G$1</f>
        <v>6513</v>
      </c>
    </row>
    <row r="113" spans="1:4" x14ac:dyDescent="0.25">
      <c r="A113" s="2">
        <f>'6513'!A18</f>
        <v>0.73599999999999999</v>
      </c>
      <c r="B113" s="3">
        <f>'6513'!L18</f>
        <v>-2.2318857331647259</v>
      </c>
      <c r="C113" s="2">
        <f>'6513'!M18</f>
        <v>3.1128763100725484E-2</v>
      </c>
      <c r="D113" s="2">
        <f>'6513'!$G$1</f>
        <v>6513</v>
      </c>
    </row>
    <row r="114" spans="1:4" x14ac:dyDescent="0.25">
      <c r="A114" s="2">
        <f>'6513'!A19</f>
        <v>0.75600000000000001</v>
      </c>
      <c r="B114" s="3">
        <f>'6513'!L19</f>
        <v>-2.6469803843463056</v>
      </c>
      <c r="C114" s="2">
        <f>'6513'!M19</f>
        <v>2.5778506942788302E-2</v>
      </c>
      <c r="D114" s="2">
        <f>'6513'!$G$1</f>
        <v>6513</v>
      </c>
    </row>
    <row r="115" spans="1:4" x14ac:dyDescent="0.25">
      <c r="A115" s="2">
        <f>0</f>
        <v>0</v>
      </c>
      <c r="B115" s="3">
        <f>Static!I2</f>
        <v>0.83254899542936012</v>
      </c>
      <c r="C115" s="2">
        <f>Static!J2</f>
        <v>1.3961284334247443E-2</v>
      </c>
      <c r="D115" s="2">
        <f>Static!A2</f>
        <v>2377</v>
      </c>
    </row>
    <row r="116" spans="1:4" x14ac:dyDescent="0.25">
      <c r="A116" s="2">
        <f>0</f>
        <v>0</v>
      </c>
      <c r="B116" s="3">
        <f>Static!I3</f>
        <v>1.074468718003603</v>
      </c>
      <c r="C116" s="2">
        <f>Static!J3</f>
        <v>1.7940865630548128E-2</v>
      </c>
      <c r="D116" s="2">
        <f>Static!A3</f>
        <v>2676</v>
      </c>
    </row>
    <row r="117" spans="1:4" x14ac:dyDescent="0.25">
      <c r="A117" s="2">
        <f>0</f>
        <v>0</v>
      </c>
      <c r="B117" s="3">
        <f>Static!I4</f>
        <v>1.3043439313537877</v>
      </c>
      <c r="C117" s="2">
        <f>Static!J4</f>
        <v>2.1758624982959739E-2</v>
      </c>
      <c r="D117" s="2">
        <f>Static!A4</f>
        <v>2947</v>
      </c>
    </row>
    <row r="118" spans="1:4" x14ac:dyDescent="0.25">
      <c r="A118" s="2">
        <f>0</f>
        <v>0</v>
      </c>
      <c r="B118" s="3">
        <f>Static!I5</f>
        <v>1.6063655357797493</v>
      </c>
      <c r="C118" s="2">
        <f>Static!J5</f>
        <v>2.6622739313331104E-2</v>
      </c>
      <c r="D118" s="2">
        <f>Static!A5</f>
        <v>3234</v>
      </c>
    </row>
    <row r="119" spans="1:4" x14ac:dyDescent="0.25">
      <c r="A119" s="2">
        <f>0</f>
        <v>0</v>
      </c>
      <c r="B119" s="3">
        <f>Static!I6</f>
        <v>1.8975457061983698</v>
      </c>
      <c r="C119" s="2">
        <f>Static!J6</f>
        <v>3.1495467086197333E-2</v>
      </c>
      <c r="D119" s="2">
        <f>Static!A6</f>
        <v>3494</v>
      </c>
    </row>
    <row r="120" spans="1:4" x14ac:dyDescent="0.25">
      <c r="A120" s="2">
        <f>0</f>
        <v>0</v>
      </c>
      <c r="B120" s="3">
        <f>Static!I7</f>
        <v>2.2499822144220318</v>
      </c>
      <c r="C120" s="2">
        <f>Static!J7</f>
        <v>3.7323739745588232E-2</v>
      </c>
      <c r="D120" s="2">
        <f>Static!A7</f>
        <v>3762</v>
      </c>
    </row>
    <row r="121" spans="1:4" x14ac:dyDescent="0.25">
      <c r="A121" s="2">
        <f>0</f>
        <v>0</v>
      </c>
      <c r="B121" s="3">
        <f>Static!I8</f>
        <v>2.6152231758104758</v>
      </c>
      <c r="C121" s="2">
        <f>Static!J8</f>
        <v>4.3368079443706714E-2</v>
      </c>
      <c r="D121" s="2">
        <f>Static!A8</f>
        <v>4029</v>
      </c>
    </row>
    <row r="122" spans="1:4" x14ac:dyDescent="0.25">
      <c r="A122" s="2">
        <f>0</f>
        <v>0</v>
      </c>
      <c r="B122" s="3">
        <f>Static!I9</f>
        <v>3.0555140315424572</v>
      </c>
      <c r="C122" s="2">
        <f>Static!J9</f>
        <v>5.0691423619801494E-2</v>
      </c>
      <c r="D122" s="2">
        <f>Static!A9</f>
        <v>4319</v>
      </c>
    </row>
    <row r="123" spans="1:4" x14ac:dyDescent="0.25">
      <c r="A123" s="2">
        <f>0</f>
        <v>0</v>
      </c>
      <c r="B123" s="3">
        <f>Static!I10</f>
        <v>3.5167194550609686</v>
      </c>
      <c r="C123" s="2">
        <f>Static!J10</f>
        <v>5.8460223460360693E-2</v>
      </c>
      <c r="D123" s="2">
        <f>Static!A10</f>
        <v>4590</v>
      </c>
    </row>
    <row r="124" spans="1:4" x14ac:dyDescent="0.25">
      <c r="A124" s="2">
        <f>0</f>
        <v>0</v>
      </c>
      <c r="B124" s="3">
        <f>Static!I11</f>
        <v>4.0494376572313664</v>
      </c>
      <c r="C124" s="2">
        <f>Static!J11</f>
        <v>6.7446020670410806E-2</v>
      </c>
      <c r="D124" s="2">
        <f>Static!A11</f>
        <v>4880</v>
      </c>
    </row>
    <row r="125" spans="1:4" x14ac:dyDescent="0.25">
      <c r="A125" s="2">
        <f>0</f>
        <v>0</v>
      </c>
      <c r="B125" s="3">
        <f>Static!I12</f>
        <v>4.5572728114098879</v>
      </c>
      <c r="C125" s="2">
        <f>Static!J12</f>
        <v>7.5939560477478296E-2</v>
      </c>
      <c r="D125" s="2">
        <f>Static!A12</f>
        <v>5147</v>
      </c>
    </row>
    <row r="126" spans="1:4" x14ac:dyDescent="0.25">
      <c r="A126" s="2">
        <f>0</f>
        <v>0</v>
      </c>
      <c r="B126" s="3">
        <f>Static!I13</f>
        <v>5.1103650944211401</v>
      </c>
      <c r="C126" s="2">
        <f>Static!J13</f>
        <v>8.5461620164093019E-2</v>
      </c>
      <c r="D126" s="2">
        <f>Static!A13</f>
        <v>5417</v>
      </c>
    </row>
    <row r="127" spans="1:4" x14ac:dyDescent="0.25">
      <c r="A127" s="2">
        <f>0</f>
        <v>0</v>
      </c>
      <c r="B127" s="3">
        <f>Static!I14</f>
        <v>5.7390454740097745</v>
      </c>
      <c r="C127" s="2">
        <f>Static!J14</f>
        <v>9.6059334372860558E-2</v>
      </c>
      <c r="D127" s="2">
        <f>Static!A14</f>
        <v>5715</v>
      </c>
    </row>
    <row r="128" spans="1:4" x14ac:dyDescent="0.25">
      <c r="A128" s="2">
        <f>0</f>
        <v>0</v>
      </c>
      <c r="B128" s="3">
        <f>Static!I15</f>
        <v>6.3121815367463627</v>
      </c>
      <c r="C128" s="2">
        <f>Static!J15</f>
        <v>0.10589747414417389</v>
      </c>
      <c r="D128" s="2">
        <f>Static!A15</f>
        <v>5960</v>
      </c>
    </row>
    <row r="129" spans="1:4" x14ac:dyDescent="0.25">
      <c r="A129" s="2">
        <f>0</f>
        <v>0</v>
      </c>
      <c r="B129" s="3">
        <f>Static!I16</f>
        <v>6.9321700773499622</v>
      </c>
      <c r="C129" s="2">
        <f>Static!J16</f>
        <v>0.11644993703464565</v>
      </c>
      <c r="D129" s="2">
        <f>Static!A16</f>
        <v>6226</v>
      </c>
    </row>
    <row r="130" spans="1:4" x14ac:dyDescent="0.25">
      <c r="A130" s="2">
        <f>0</f>
        <v>0</v>
      </c>
      <c r="B130" s="3">
        <f>Static!I17</f>
        <v>7.699554716100768</v>
      </c>
      <c r="C130" s="2">
        <f>Static!J17</f>
        <v>0.12973123454843533</v>
      </c>
      <c r="D130" s="2">
        <f>Static!A17</f>
        <v>6528</v>
      </c>
    </row>
    <row r="131" spans="1:4" x14ac:dyDescent="0.25">
      <c r="B131" s="3"/>
    </row>
    <row r="132" spans="1:4" x14ac:dyDescent="0.25">
      <c r="B132" s="3"/>
    </row>
    <row r="133" spans="1:4" x14ac:dyDescent="0.25">
      <c r="B133" s="3"/>
    </row>
    <row r="134" spans="1:4" x14ac:dyDescent="0.25">
      <c r="B134" s="3"/>
    </row>
    <row r="135" spans="1:4" x14ac:dyDescent="0.25">
      <c r="B135" s="3"/>
    </row>
    <row r="136" spans="1:4" x14ac:dyDescent="0.25">
      <c r="B136" s="3"/>
    </row>
    <row r="137" spans="1:4" x14ac:dyDescent="0.25">
      <c r="B137" s="3"/>
    </row>
    <row r="138" spans="1:4" x14ac:dyDescent="0.25">
      <c r="B138" s="3"/>
    </row>
    <row r="139" spans="1:4" x14ac:dyDescent="0.25">
      <c r="B139" s="3"/>
    </row>
    <row r="140" spans="1:4" x14ac:dyDescent="0.25">
      <c r="B140" s="3"/>
    </row>
    <row r="141" spans="1:4" x14ac:dyDescent="0.25">
      <c r="B141" s="3"/>
    </row>
    <row r="142" spans="1:4" x14ac:dyDescent="0.25">
      <c r="B142" s="3"/>
    </row>
    <row r="143" spans="1:4" x14ac:dyDescent="0.25">
      <c r="B143" s="3"/>
    </row>
    <row r="144" spans="1:4" x14ac:dyDescent="0.25">
      <c r="B144" s="3"/>
    </row>
    <row r="145" spans="2:2" x14ac:dyDescent="0.25">
      <c r="B145" s="3"/>
    </row>
    <row r="146" spans="2:2" x14ac:dyDescent="0.25">
      <c r="B146" s="3"/>
    </row>
    <row r="147" spans="2:2" x14ac:dyDescent="0.25">
      <c r="B147" s="3"/>
    </row>
    <row r="148" spans="2:2" x14ac:dyDescent="0.25">
      <c r="B148" s="3"/>
    </row>
    <row r="149" spans="2:2" x14ac:dyDescent="0.25">
      <c r="B149" s="3"/>
    </row>
    <row r="150" spans="2:2" x14ac:dyDescent="0.25">
      <c r="B150" s="3"/>
    </row>
    <row r="151" spans="2:2" x14ac:dyDescent="0.25">
      <c r="B151" s="3"/>
    </row>
    <row r="152" spans="2:2" x14ac:dyDescent="0.25">
      <c r="B152" s="3"/>
    </row>
    <row r="153" spans="2:2" x14ac:dyDescent="0.25">
      <c r="B153" s="3"/>
    </row>
    <row r="154" spans="2:2" x14ac:dyDescent="0.25">
      <c r="B154" s="3"/>
    </row>
    <row r="155" spans="2:2" x14ac:dyDescent="0.25">
      <c r="B155" s="3"/>
    </row>
    <row r="156" spans="2:2" x14ac:dyDescent="0.25">
      <c r="B156" s="3"/>
    </row>
    <row r="157" spans="2:2" x14ac:dyDescent="0.25">
      <c r="B157" s="3"/>
    </row>
    <row r="158" spans="2:2" x14ac:dyDescent="0.25">
      <c r="B158" s="3"/>
    </row>
    <row r="159" spans="2:2" x14ac:dyDescent="0.25">
      <c r="B159" s="3"/>
    </row>
    <row r="160" spans="2:2" x14ac:dyDescent="0.25">
      <c r="B160" s="3"/>
    </row>
    <row r="161" spans="2:2" x14ac:dyDescent="0.25">
      <c r="B161" s="3"/>
    </row>
    <row r="162" spans="2:2" x14ac:dyDescent="0.25">
      <c r="B162" s="3"/>
    </row>
    <row r="163" spans="2:2" x14ac:dyDescent="0.25">
      <c r="B163" s="3"/>
    </row>
    <row r="164" spans="2:2" x14ac:dyDescent="0.25">
      <c r="B164" s="3"/>
    </row>
    <row r="165" spans="2:2" x14ac:dyDescent="0.25">
      <c r="B165" s="3"/>
    </row>
    <row r="166" spans="2:2" x14ac:dyDescent="0.25">
      <c r="B166" s="3"/>
    </row>
    <row r="167" spans="2:2" x14ac:dyDescent="0.25">
      <c r="B167" s="3"/>
    </row>
    <row r="168" spans="2:2" x14ac:dyDescent="0.25">
      <c r="B168" s="3"/>
    </row>
    <row r="169" spans="2:2" x14ac:dyDescent="0.25">
      <c r="B169" s="3"/>
    </row>
    <row r="170" spans="2:2" x14ac:dyDescent="0.25">
      <c r="B170" s="3"/>
    </row>
    <row r="171" spans="2:2" x14ac:dyDescent="0.25">
      <c r="B171" s="3"/>
    </row>
    <row r="172" spans="2:2" x14ac:dyDescent="0.25">
      <c r="B172" s="3"/>
    </row>
    <row r="173" spans="2:2" x14ac:dyDescent="0.25">
      <c r="B173" s="3"/>
    </row>
    <row r="174" spans="2:2" x14ac:dyDescent="0.25">
      <c r="B174" s="3"/>
    </row>
    <row r="175" spans="2:2" x14ac:dyDescent="0.25">
      <c r="B175" s="3"/>
    </row>
    <row r="176" spans="2:2" x14ac:dyDescent="0.25">
      <c r="B176" s="3"/>
    </row>
    <row r="177" spans="2:2" x14ac:dyDescent="0.25">
      <c r="B177" s="3"/>
    </row>
    <row r="178" spans="2:2" x14ac:dyDescent="0.25">
      <c r="B178" s="3"/>
    </row>
    <row r="179" spans="2:2" x14ac:dyDescent="0.25">
      <c r="B179" s="3"/>
    </row>
    <row r="180" spans="2:2" x14ac:dyDescent="0.25">
      <c r="B180" s="3"/>
    </row>
    <row r="181" spans="2:2" x14ac:dyDescent="0.25">
      <c r="B181" s="3"/>
    </row>
    <row r="182" spans="2:2" x14ac:dyDescent="0.25">
      <c r="B182" s="3"/>
    </row>
    <row r="183" spans="2:2" x14ac:dyDescent="0.25">
      <c r="B183" s="3"/>
    </row>
    <row r="184" spans="2:2" x14ac:dyDescent="0.25">
      <c r="B184" s="3"/>
    </row>
    <row r="185" spans="2:2" x14ac:dyDescent="0.25">
      <c r="B185" s="3"/>
    </row>
    <row r="186" spans="2:2" x14ac:dyDescent="0.25">
      <c r="B186" s="3"/>
    </row>
    <row r="187" spans="2:2" x14ac:dyDescent="0.25">
      <c r="B187" s="3"/>
    </row>
    <row r="188" spans="2:2" x14ac:dyDescent="0.25">
      <c r="B188" s="3"/>
    </row>
    <row r="189" spans="2:2" x14ac:dyDescent="0.25">
      <c r="B189" s="3"/>
    </row>
    <row r="190" spans="2:2" x14ac:dyDescent="0.25">
      <c r="B190" s="3"/>
    </row>
    <row r="191" spans="2:2" x14ac:dyDescent="0.25">
      <c r="B191" s="3"/>
    </row>
    <row r="192" spans="2:2" x14ac:dyDescent="0.25">
      <c r="B192" s="3"/>
    </row>
    <row r="193" spans="2:2" x14ac:dyDescent="0.25">
      <c r="B193" s="3"/>
    </row>
    <row r="194" spans="2:2" x14ac:dyDescent="0.25">
      <c r="B194" s="3"/>
    </row>
    <row r="195" spans="2:2" x14ac:dyDescent="0.25">
      <c r="B195" s="3"/>
    </row>
    <row r="196" spans="2:2" x14ac:dyDescent="0.25">
      <c r="B196" s="3"/>
    </row>
    <row r="197" spans="2:2" x14ac:dyDescent="0.25">
      <c r="B197" s="3"/>
    </row>
    <row r="198" spans="2:2" x14ac:dyDescent="0.25">
      <c r="B198" s="3"/>
    </row>
    <row r="199" spans="2:2" x14ac:dyDescent="0.25">
      <c r="B199" s="3"/>
    </row>
    <row r="200" spans="2:2" x14ac:dyDescent="0.25">
      <c r="B200" s="3"/>
    </row>
    <row r="201" spans="2:2" x14ac:dyDescent="0.25">
      <c r="B201" s="3"/>
    </row>
    <row r="202" spans="2:2" x14ac:dyDescent="0.25">
      <c r="B202" s="3"/>
    </row>
    <row r="203" spans="2:2" x14ac:dyDescent="0.25">
      <c r="B203" s="3"/>
    </row>
    <row r="204" spans="2:2" x14ac:dyDescent="0.25">
      <c r="B204" s="3"/>
    </row>
    <row r="205" spans="2:2" x14ac:dyDescent="0.25">
      <c r="B205" s="3"/>
    </row>
    <row r="206" spans="2:2" x14ac:dyDescent="0.25">
      <c r="B206" s="3"/>
    </row>
    <row r="207" spans="2:2" x14ac:dyDescent="0.25">
      <c r="B207" s="3"/>
    </row>
    <row r="208" spans="2:2" x14ac:dyDescent="0.25">
      <c r="B208" s="3"/>
    </row>
    <row r="209" spans="2:2" x14ac:dyDescent="0.25">
      <c r="B209" s="3"/>
    </row>
    <row r="210" spans="2:2" x14ac:dyDescent="0.25">
      <c r="B210" s="3"/>
    </row>
    <row r="211" spans="2:2" x14ac:dyDescent="0.25">
      <c r="B211" s="3"/>
    </row>
    <row r="212" spans="2:2" x14ac:dyDescent="0.25">
      <c r="B212" s="3"/>
    </row>
    <row r="213" spans="2:2" x14ac:dyDescent="0.25">
      <c r="B213" s="3"/>
    </row>
    <row r="214" spans="2:2" x14ac:dyDescent="0.25">
      <c r="B214" s="3"/>
    </row>
    <row r="215" spans="2:2" x14ac:dyDescent="0.25">
      <c r="B215" s="3"/>
    </row>
    <row r="216" spans="2:2" x14ac:dyDescent="0.25">
      <c r="B216" s="3"/>
    </row>
    <row r="217" spans="2:2" x14ac:dyDescent="0.25">
      <c r="B217" s="3"/>
    </row>
    <row r="218" spans="2:2" x14ac:dyDescent="0.25">
      <c r="B218" s="3"/>
    </row>
    <row r="219" spans="2:2" x14ac:dyDescent="0.25">
      <c r="B219" s="3"/>
    </row>
    <row r="220" spans="2:2" x14ac:dyDescent="0.25">
      <c r="B220" s="3"/>
    </row>
    <row r="221" spans="2:2" x14ac:dyDescent="0.25">
      <c r="B221" s="3"/>
    </row>
    <row r="222" spans="2:2" x14ac:dyDescent="0.25">
      <c r="B222" s="3"/>
    </row>
    <row r="223" spans="2:2" x14ac:dyDescent="0.25">
      <c r="B223" s="3"/>
    </row>
    <row r="224" spans="2:2" x14ac:dyDescent="0.25">
      <c r="B224" s="3"/>
    </row>
    <row r="225" spans="2:2" x14ac:dyDescent="0.25">
      <c r="B225" s="3"/>
    </row>
    <row r="226" spans="2:2" x14ac:dyDescent="0.25">
      <c r="B226" s="3"/>
    </row>
    <row r="227" spans="2:2" x14ac:dyDescent="0.25">
      <c r="B227" s="3"/>
    </row>
    <row r="228" spans="2:2" x14ac:dyDescent="0.25">
      <c r="B228" s="3"/>
    </row>
    <row r="229" spans="2:2" x14ac:dyDescent="0.25">
      <c r="B229" s="3"/>
    </row>
    <row r="230" spans="2:2" x14ac:dyDescent="0.25">
      <c r="B230" s="3"/>
    </row>
    <row r="231" spans="2:2" x14ac:dyDescent="0.25">
      <c r="B231" s="3"/>
    </row>
    <row r="232" spans="2:2" x14ac:dyDescent="0.25">
      <c r="B232" s="3"/>
    </row>
    <row r="233" spans="2:2" x14ac:dyDescent="0.25">
      <c r="B233" s="3"/>
    </row>
    <row r="234" spans="2:2" x14ac:dyDescent="0.25">
      <c r="B234" s="3"/>
    </row>
    <row r="235" spans="2:2" x14ac:dyDescent="0.25">
      <c r="B235" s="3"/>
    </row>
    <row r="236" spans="2:2" x14ac:dyDescent="0.25">
      <c r="B236" s="3"/>
    </row>
    <row r="237" spans="2:2" x14ac:dyDescent="0.25">
      <c r="B237" s="3"/>
    </row>
    <row r="238" spans="2:2" x14ac:dyDescent="0.25">
      <c r="B238" s="3"/>
    </row>
    <row r="239" spans="2:2" x14ac:dyDescent="0.25">
      <c r="B239" s="3"/>
    </row>
    <row r="240" spans="2:2" x14ac:dyDescent="0.25">
      <c r="B240" s="3"/>
    </row>
    <row r="241" spans="2:2" x14ac:dyDescent="0.25">
      <c r="B241" s="3"/>
    </row>
    <row r="242" spans="2:2" x14ac:dyDescent="0.25">
      <c r="B242" s="3"/>
    </row>
    <row r="243" spans="2:2" x14ac:dyDescent="0.25">
      <c r="B243" s="3"/>
    </row>
    <row r="244" spans="2:2" x14ac:dyDescent="0.25">
      <c r="B244" s="3"/>
    </row>
    <row r="245" spans="2:2" x14ac:dyDescent="0.25">
      <c r="B245" s="3"/>
    </row>
    <row r="246" spans="2:2" x14ac:dyDescent="0.25">
      <c r="B246" s="3"/>
    </row>
    <row r="247" spans="2:2" x14ac:dyDescent="0.25">
      <c r="B247" s="3"/>
    </row>
    <row r="248" spans="2:2" x14ac:dyDescent="0.25">
      <c r="B248" s="3"/>
    </row>
  </sheetData>
  <sortState ref="A2:D114">
    <sortCondition ref="A2:A114"/>
  </sortState>
  <pageMargins left="0.7" right="0.7" top="0.75" bottom="0.75" header="0.3" footer="0.3"/>
  <pageSetup paperSize="9" orientation="portrait" horizontalDpi="4294967294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1:Q248"/>
  <sheetViews>
    <sheetView topLeftCell="A84" workbookViewId="0">
      <selection activeCell="H104" sqref="H104"/>
    </sheetView>
  </sheetViews>
  <sheetFormatPr defaultRowHeight="15" x14ac:dyDescent="0.25"/>
  <cols>
    <col min="1" max="4" width="9.140625" style="2"/>
    <col min="5" max="5" width="9.140625" style="6"/>
    <col min="6" max="6" width="9.140625" style="8"/>
    <col min="7" max="17" width="9.140625" style="2"/>
    <col min="18" max="36" width="4.7109375" style="2" customWidth="1"/>
    <col min="37" max="16384" width="9.140625" style="2"/>
  </cols>
  <sheetData>
    <row r="1" spans="1:17" ht="15.75" x14ac:dyDescent="0.25">
      <c r="A1" s="15" t="s">
        <v>0</v>
      </c>
      <c r="B1" s="15" t="s">
        <v>7</v>
      </c>
      <c r="C1" s="15" t="s">
        <v>9</v>
      </c>
      <c r="D1" s="15" t="s">
        <v>10</v>
      </c>
      <c r="E1" s="5"/>
      <c r="F1" s="7"/>
      <c r="H1" s="9"/>
      <c r="I1" s="9"/>
      <c r="J1" s="9"/>
      <c r="K1" s="9"/>
      <c r="L1" s="9"/>
      <c r="M1" s="9"/>
      <c r="N1" s="9"/>
      <c r="O1" s="9"/>
      <c r="P1" s="9"/>
    </row>
    <row r="2" spans="1:17" x14ac:dyDescent="0.25">
      <c r="A2" s="2">
        <f>'4014'!A2</f>
        <v>0.14199999999999999</v>
      </c>
      <c r="B2" s="3">
        <f>'4014'!L2</f>
        <v>2.1981923819648386</v>
      </c>
      <c r="C2" s="2">
        <f>'4014'!M2</f>
        <v>4.1660167960180128E-2</v>
      </c>
      <c r="D2" s="2">
        <f>'4014'!$G$1</f>
        <v>4014</v>
      </c>
      <c r="H2" s="9"/>
      <c r="I2" s="9"/>
      <c r="J2" s="9"/>
      <c r="K2" s="9"/>
      <c r="L2" s="9"/>
      <c r="M2" s="9"/>
      <c r="N2" s="9"/>
      <c r="O2" s="9"/>
      <c r="P2" s="9"/>
      <c r="Q2" s="4"/>
    </row>
    <row r="3" spans="1:17" x14ac:dyDescent="0.25">
      <c r="A3" s="2">
        <f>'4014'!A3</f>
        <v>0.17799999999999999</v>
      </c>
      <c r="B3" s="3">
        <f>'4014'!L3</f>
        <v>2.0748011255967502</v>
      </c>
      <c r="C3" s="2">
        <f>'4014'!M3</f>
        <v>4.1198303570377695E-2</v>
      </c>
      <c r="D3" s="2">
        <f>'4014'!$G$1</f>
        <v>4014</v>
      </c>
      <c r="H3" s="9" t="s">
        <v>13</v>
      </c>
      <c r="I3" s="14">
        <f>MIN(B:B)</f>
        <v>-2.6469803843463056</v>
      </c>
      <c r="J3" s="9"/>
      <c r="K3" s="9"/>
      <c r="L3" s="10"/>
      <c r="M3" s="9"/>
      <c r="N3" s="9"/>
      <c r="O3" s="9"/>
      <c r="P3" s="9"/>
    </row>
    <row r="4" spans="1:17" x14ac:dyDescent="0.25">
      <c r="A4" s="2">
        <f>'4014'!A4</f>
        <v>0.216</v>
      </c>
      <c r="B4" s="3">
        <f>'4014'!L4</f>
        <v>1.9285596365679043</v>
      </c>
      <c r="C4" s="2">
        <f>'4014'!M4</f>
        <v>4.0274574790772816E-2</v>
      </c>
      <c r="D4" s="2">
        <f>'4014'!$G$1</f>
        <v>4014</v>
      </c>
      <c r="H4" s="9" t="s">
        <v>11</v>
      </c>
      <c r="I4" s="14">
        <f>MAX(B:B)</f>
        <v>7.0424142713504958</v>
      </c>
      <c r="J4" s="9"/>
      <c r="K4" s="9"/>
      <c r="L4" s="9"/>
      <c r="M4" s="9"/>
      <c r="N4" s="9"/>
      <c r="O4" s="9"/>
      <c r="P4" s="9"/>
    </row>
    <row r="5" spans="1:17" x14ac:dyDescent="0.25">
      <c r="A5" s="2">
        <f>'4014'!A5</f>
        <v>0.255</v>
      </c>
      <c r="B5" s="3">
        <f>'4014'!L5</f>
        <v>1.7914582406033612</v>
      </c>
      <c r="C5" s="2">
        <f>'4014'!M5</f>
        <v>3.9443218889128419E-2</v>
      </c>
      <c r="D5" s="2">
        <f>'4014'!$G$1</f>
        <v>4014</v>
      </c>
      <c r="H5" s="9" t="s">
        <v>14</v>
      </c>
      <c r="I5" s="9">
        <f>MIN(A:A)</f>
        <v>8.8999999999999996E-2</v>
      </c>
      <c r="J5" s="9"/>
      <c r="K5" s="9"/>
      <c r="L5" s="9"/>
      <c r="M5" s="9"/>
      <c r="N5" s="9"/>
      <c r="O5" s="9"/>
      <c r="P5" s="9"/>
    </row>
    <row r="6" spans="1:17" x14ac:dyDescent="0.25">
      <c r="A6" s="2">
        <f>'4014'!A6</f>
        <v>0.28899999999999998</v>
      </c>
      <c r="B6" s="3">
        <f>'4014'!L6</f>
        <v>1.6452167515745153</v>
      </c>
      <c r="C6" s="2">
        <f>'4014'!M6</f>
        <v>3.8242371475642079E-2</v>
      </c>
      <c r="D6" s="2">
        <f>'4014'!$G$1</f>
        <v>4014</v>
      </c>
      <c r="H6" s="13" t="s">
        <v>12</v>
      </c>
      <c r="I6" s="9">
        <f>MAX(A:A)</f>
        <v>0.78300000000000003</v>
      </c>
      <c r="J6" s="9"/>
      <c r="K6" s="9"/>
      <c r="L6" s="9"/>
      <c r="M6" s="9"/>
      <c r="N6" s="9"/>
      <c r="O6" s="9"/>
      <c r="P6" s="9"/>
    </row>
    <row r="7" spans="1:17" x14ac:dyDescent="0.25">
      <c r="A7" s="2">
        <f>'4014'!A7</f>
        <v>0.32600000000000001</v>
      </c>
      <c r="B7" s="3">
        <f>'4014'!L7</f>
        <v>1.5149704254081993</v>
      </c>
      <c r="C7" s="2">
        <f>'4014'!M7</f>
        <v>3.7595761329918667E-2</v>
      </c>
      <c r="D7" s="2">
        <f>'4014'!$G$1</f>
        <v>4014</v>
      </c>
      <c r="H7" s="9"/>
      <c r="I7" s="9"/>
      <c r="J7" s="9"/>
      <c r="K7" s="9"/>
      <c r="L7" s="9"/>
      <c r="M7" s="11"/>
      <c r="N7" s="9"/>
      <c r="O7" s="9"/>
      <c r="P7" s="9"/>
    </row>
    <row r="8" spans="1:17" x14ac:dyDescent="0.25">
      <c r="A8" s="2">
        <f>'4014'!A8</f>
        <v>0.36099999999999999</v>
      </c>
      <c r="B8" s="3">
        <f>'4014'!L8</f>
        <v>1.3504487502507483</v>
      </c>
      <c r="C8" s="2">
        <f>'4014'!M8</f>
        <v>3.6210168160511334E-2</v>
      </c>
      <c r="D8" s="2">
        <f>'4014'!$G$1</f>
        <v>4014</v>
      </c>
      <c r="H8" s="9"/>
      <c r="I8" s="9"/>
      <c r="J8" s="9"/>
      <c r="K8" s="9"/>
      <c r="L8" s="9"/>
      <c r="M8" s="11"/>
      <c r="N8" s="9"/>
      <c r="O8" s="9"/>
      <c r="P8" s="9"/>
    </row>
    <row r="9" spans="1:17" x14ac:dyDescent="0.25">
      <c r="A9" s="2">
        <f>'4014'!A9</f>
        <v>0.39900000000000002</v>
      </c>
      <c r="B9" s="3">
        <f>'4014'!L9</f>
        <v>1.174501958762918</v>
      </c>
      <c r="C9" s="2">
        <f>'4014'!M9</f>
        <v>3.4639829235183037E-2</v>
      </c>
      <c r="D9" s="2">
        <f>'4014'!$G$1</f>
        <v>4014</v>
      </c>
      <c r="H9" s="9"/>
      <c r="I9" s="9"/>
      <c r="J9" s="9"/>
      <c r="K9" s="9"/>
      <c r="L9" s="9"/>
      <c r="M9" s="9"/>
      <c r="N9" s="9"/>
      <c r="O9" s="9"/>
      <c r="P9" s="9"/>
    </row>
    <row r="10" spans="1:17" x14ac:dyDescent="0.25">
      <c r="A10" s="2">
        <f>'4014'!A10</f>
        <v>0.438</v>
      </c>
      <c r="B10" s="3">
        <f>'4014'!L10</f>
        <v>0.9734199113482549</v>
      </c>
      <c r="C10" s="2">
        <f>'4014'!M10</f>
        <v>3.251525304209181E-2</v>
      </c>
      <c r="D10" s="2">
        <f>'4014'!$G$1</f>
        <v>4014</v>
      </c>
      <c r="H10" s="9"/>
      <c r="I10" s="9"/>
      <c r="J10" s="9"/>
      <c r="K10" s="9"/>
      <c r="L10" s="9"/>
      <c r="M10" s="9"/>
      <c r="N10" s="9"/>
      <c r="O10" s="9"/>
      <c r="P10" s="9"/>
    </row>
    <row r="11" spans="1:17" x14ac:dyDescent="0.25">
      <c r="A11" s="2">
        <f>'4014'!A11</f>
        <v>0.46800000000000003</v>
      </c>
      <c r="B11" s="3">
        <f>'4014'!L11</f>
        <v>0.82260837578725765</v>
      </c>
      <c r="C11" s="2">
        <f>'4014'!M11</f>
        <v>3.0944914116763516E-2</v>
      </c>
      <c r="D11" s="2">
        <f>'4014'!$G$1</f>
        <v>4014</v>
      </c>
      <c r="H11" s="9"/>
      <c r="I11" s="9"/>
      <c r="J11" s="9"/>
      <c r="K11" s="9"/>
      <c r="L11" s="9"/>
      <c r="M11" s="9"/>
      <c r="N11" s="9"/>
      <c r="O11" s="9"/>
      <c r="P11" s="9"/>
    </row>
    <row r="12" spans="1:17" x14ac:dyDescent="0.25">
      <c r="A12" s="2">
        <f>'4014'!A12</f>
        <v>0.51</v>
      </c>
      <c r="B12" s="3">
        <f>'4014'!L12</f>
        <v>0.57582586305108041</v>
      </c>
      <c r="C12" s="2">
        <f>'4014'!M12</f>
        <v>2.8450846411830332E-2</v>
      </c>
      <c r="D12" s="2">
        <f>'4014'!$G$1</f>
        <v>4014</v>
      </c>
      <c r="H12" s="9"/>
      <c r="I12" s="9"/>
      <c r="J12" s="9"/>
      <c r="K12" s="9"/>
      <c r="L12" s="9"/>
      <c r="M12" s="9"/>
      <c r="N12" s="9"/>
      <c r="O12" s="9"/>
      <c r="P12" s="9"/>
    </row>
    <row r="13" spans="1:17" x14ac:dyDescent="0.25">
      <c r="A13" s="2">
        <f>'4014'!A13</f>
        <v>0.53400000000000003</v>
      </c>
      <c r="B13" s="3">
        <f>'4014'!L13</f>
        <v>0.43872446708653745</v>
      </c>
      <c r="C13" s="2">
        <f>'4014'!M13</f>
        <v>2.6972880364462524E-2</v>
      </c>
      <c r="D13" s="2">
        <f>'4014'!$G$1</f>
        <v>4014</v>
      </c>
      <c r="H13" s="9"/>
      <c r="I13" s="12"/>
      <c r="J13" s="12"/>
      <c r="K13" s="9"/>
      <c r="L13" s="10"/>
      <c r="M13" s="10"/>
      <c r="N13" s="12"/>
      <c r="O13" s="9"/>
      <c r="P13" s="9"/>
    </row>
    <row r="14" spans="1:17" x14ac:dyDescent="0.25">
      <c r="A14" s="2">
        <f>'4014'!A14</f>
        <v>0.57699999999999996</v>
      </c>
      <c r="B14" s="3">
        <f>'4014'!L14</f>
        <v>0.16452167515745153</v>
      </c>
      <c r="C14" s="2">
        <f>'4014'!M14</f>
        <v>2.3832202513805932E-2</v>
      </c>
      <c r="D14" s="2">
        <f>'4014'!$G$1</f>
        <v>4014</v>
      </c>
      <c r="H14" s="9"/>
      <c r="I14" s="9"/>
      <c r="J14" s="9"/>
      <c r="K14" s="9"/>
      <c r="L14" s="9"/>
      <c r="M14" s="9"/>
      <c r="N14" s="9"/>
      <c r="O14" s="9"/>
      <c r="P14" s="9"/>
    </row>
    <row r="15" spans="1:17" x14ac:dyDescent="0.25">
      <c r="A15" s="2">
        <f>'4014'!A15</f>
        <v>0.61299999999999999</v>
      </c>
      <c r="B15" s="3">
        <f>'4014'!L15</f>
        <v>-7.5405767780498609E-2</v>
      </c>
      <c r="C15" s="2">
        <f>'4014'!M15</f>
        <v>2.1061016174991287E-2</v>
      </c>
      <c r="D15" s="2">
        <f>'4014'!$G$1</f>
        <v>4014</v>
      </c>
      <c r="H15" s="9"/>
      <c r="I15" s="9"/>
      <c r="J15" s="9"/>
      <c r="K15" s="9"/>
      <c r="L15" s="9"/>
      <c r="M15" s="9"/>
      <c r="N15" s="9"/>
      <c r="O15" s="9"/>
      <c r="P15" s="9"/>
    </row>
    <row r="16" spans="1:17" x14ac:dyDescent="0.25">
      <c r="A16" s="2">
        <f>'4014'!A16</f>
        <v>0.64800000000000002</v>
      </c>
      <c r="B16" s="3">
        <f>'4014'!L16</f>
        <v>-0.31304818745237312</v>
      </c>
      <c r="C16" s="2">
        <f>'4014'!M16</f>
        <v>1.8382202714137132E-2</v>
      </c>
      <c r="D16" s="2">
        <f>'4014'!$G$1</f>
        <v>4014</v>
      </c>
      <c r="H16" s="9"/>
      <c r="I16" s="9"/>
      <c r="J16" s="9"/>
      <c r="K16" s="9"/>
      <c r="L16" s="9"/>
      <c r="M16" s="9"/>
      <c r="N16" s="9"/>
      <c r="O16" s="9"/>
      <c r="P16" s="9"/>
    </row>
    <row r="17" spans="1:16" x14ac:dyDescent="0.25">
      <c r="A17" s="2">
        <f>'4014'!A17</f>
        <v>0.68600000000000005</v>
      </c>
      <c r="B17" s="3">
        <f>'4014'!L17</f>
        <v>-0.58725097938145898</v>
      </c>
      <c r="C17" s="2">
        <f>'4014'!M17</f>
        <v>1.496440622959907E-2</v>
      </c>
      <c r="D17" s="2">
        <f>'4014'!$G$1</f>
        <v>4014</v>
      </c>
      <c r="H17" s="9"/>
      <c r="I17" s="9"/>
      <c r="J17" s="9"/>
      <c r="K17" s="9"/>
      <c r="L17" s="9"/>
      <c r="M17" s="9"/>
      <c r="N17" s="9"/>
      <c r="O17" s="9"/>
      <c r="P17" s="9"/>
    </row>
    <row r="18" spans="1:16" x14ac:dyDescent="0.25">
      <c r="A18" s="2">
        <f>'4014'!A18</f>
        <v>0.72</v>
      </c>
      <c r="B18" s="3">
        <f>'4014'!L18</f>
        <v>-0.83403349211763633</v>
      </c>
      <c r="C18" s="2">
        <f>'4014'!M18</f>
        <v>1.2008474134863455E-2</v>
      </c>
      <c r="D18" s="2">
        <f>'4014'!$G$1</f>
        <v>4014</v>
      </c>
      <c r="H18" s="9"/>
      <c r="I18" s="9"/>
      <c r="J18" s="9"/>
      <c r="K18" s="9"/>
      <c r="L18" s="10"/>
      <c r="M18" s="9"/>
      <c r="N18" s="9"/>
      <c r="O18" s="9"/>
      <c r="P18" s="9"/>
    </row>
    <row r="19" spans="1:16" x14ac:dyDescent="0.25">
      <c r="A19" s="2">
        <f>'4997'!A2</f>
        <v>0.48799999999999999</v>
      </c>
      <c r="B19" s="3">
        <f>'4997'!L2</f>
        <v>1.2004782256237252</v>
      </c>
      <c r="C19" s="2">
        <f>'4997'!M2</f>
        <v>4.7813980937532211E-2</v>
      </c>
      <c r="D19" s="2">
        <f>'4997'!$G$1</f>
        <v>4997</v>
      </c>
      <c r="H19" s="9"/>
      <c r="I19" s="9"/>
      <c r="J19" s="9"/>
      <c r="K19" s="9"/>
      <c r="L19" s="9"/>
      <c r="M19" s="9"/>
      <c r="N19" s="9"/>
      <c r="O19" s="9"/>
      <c r="P19" s="9"/>
    </row>
    <row r="20" spans="1:16" x14ac:dyDescent="0.25">
      <c r="A20" s="2">
        <f>'4997'!A3</f>
        <v>0.52</v>
      </c>
      <c r="B20" s="3">
        <f>'4997'!L3</f>
        <v>0.89593212708791292</v>
      </c>
      <c r="C20" s="2">
        <f>'4997'!M3</f>
        <v>4.4521401411893757E-2</v>
      </c>
      <c r="D20" s="2">
        <f>'4997'!$G$1</f>
        <v>4997</v>
      </c>
      <c r="H20" s="9"/>
      <c r="I20" s="9"/>
      <c r="J20" s="9"/>
      <c r="K20" s="9"/>
      <c r="L20" s="9"/>
      <c r="M20" s="9"/>
      <c r="N20" s="9"/>
      <c r="O20" s="9"/>
      <c r="P20" s="9"/>
    </row>
    <row r="21" spans="1:16" x14ac:dyDescent="0.25">
      <c r="A21" s="2">
        <f>'4997'!A4</f>
        <v>0.54800000000000004</v>
      </c>
      <c r="B21" s="3">
        <f>'4997'!L4</f>
        <v>0.63742206670286305</v>
      </c>
      <c r="C21" s="2">
        <f>'4997'!M4</f>
        <v>4.1515133149354316E-2</v>
      </c>
      <c r="D21" s="2">
        <f>'4997'!$G$1</f>
        <v>4997</v>
      </c>
      <c r="H21" s="9"/>
      <c r="I21" s="9"/>
      <c r="J21" s="9"/>
      <c r="K21" s="9"/>
      <c r="L21" s="9"/>
      <c r="M21" s="9"/>
      <c r="N21" s="9"/>
      <c r="O21" s="9"/>
      <c r="P21" s="9"/>
    </row>
    <row r="22" spans="1:16" x14ac:dyDescent="0.25">
      <c r="A22" s="2">
        <f>'4997'!A5</f>
        <v>0.57599999999999996</v>
      </c>
      <c r="B22" s="3">
        <f>'4997'!L5</f>
        <v>0.34704090298266987</v>
      </c>
      <c r="C22" s="2">
        <f>'4997'!M5</f>
        <v>3.822255362371587E-2</v>
      </c>
      <c r="D22" s="2">
        <f>'4997'!$G$1</f>
        <v>4997</v>
      </c>
      <c r="H22" s="9"/>
      <c r="I22" s="9"/>
      <c r="J22" s="9"/>
      <c r="K22" s="9"/>
      <c r="L22" s="9"/>
      <c r="M22" s="11"/>
      <c r="N22" s="9"/>
      <c r="O22" s="9"/>
      <c r="P22" s="9"/>
    </row>
    <row r="23" spans="1:16" x14ac:dyDescent="0.25">
      <c r="A23" s="2">
        <f>'4997'!A6</f>
        <v>0.60499999999999998</v>
      </c>
      <c r="B23" s="3">
        <f>'4997'!L6</f>
        <v>4.249480444685752E-2</v>
      </c>
      <c r="C23" s="2">
        <f>'4997'!M6</f>
        <v>3.4643662834978432E-2</v>
      </c>
      <c r="D23" s="2">
        <f>'4997'!$G$1</f>
        <v>4997</v>
      </c>
      <c r="H23" s="9"/>
      <c r="I23" s="9"/>
      <c r="J23" s="9"/>
      <c r="K23" s="9"/>
      <c r="L23" s="9"/>
      <c r="M23" s="11"/>
      <c r="N23" s="9"/>
      <c r="O23" s="9"/>
      <c r="P23" s="9"/>
    </row>
    <row r="24" spans="1:16" x14ac:dyDescent="0.25">
      <c r="A24" s="2">
        <f>'4997'!A7</f>
        <v>0.63700000000000001</v>
      </c>
      <c r="B24" s="3">
        <f>'4997'!L7</f>
        <v>-0.29038116372019313</v>
      </c>
      <c r="C24" s="2">
        <f>'4997'!M7</f>
        <v>3.0778460783141989E-2</v>
      </c>
      <c r="D24" s="2">
        <f>'4997'!$G$1</f>
        <v>4997</v>
      </c>
      <c r="H24" s="9"/>
      <c r="I24" s="9"/>
      <c r="J24" s="9"/>
      <c r="K24" s="9"/>
      <c r="L24" s="9"/>
      <c r="M24" s="9"/>
      <c r="N24" s="9"/>
      <c r="O24" s="9"/>
      <c r="P24" s="9"/>
    </row>
    <row r="25" spans="1:16" x14ac:dyDescent="0.25">
      <c r="A25" s="2">
        <f>'4997'!A8</f>
        <v>0.66200000000000003</v>
      </c>
      <c r="B25" s="3">
        <f>'4997'!L8</f>
        <v>-0.57367986003257665</v>
      </c>
      <c r="C25" s="2">
        <f>'4997'!M8</f>
        <v>2.7342725625954044E-2</v>
      </c>
      <c r="D25" s="2">
        <f>'4997'!$G$1</f>
        <v>4997</v>
      </c>
      <c r="H25" s="9"/>
      <c r="I25" s="9"/>
      <c r="J25" s="9"/>
      <c r="K25" s="9"/>
      <c r="L25" s="9"/>
      <c r="M25" s="9"/>
      <c r="N25" s="9"/>
      <c r="O25" s="9"/>
      <c r="P25" s="9"/>
    </row>
    <row r="26" spans="1:16" x14ac:dyDescent="0.25">
      <c r="A26" s="2">
        <f>'4997'!A9</f>
        <v>0.69299999999999995</v>
      </c>
      <c r="B26" s="3">
        <f>'4997'!L9</f>
        <v>-0.91363829560743692</v>
      </c>
      <c r="C26" s="2">
        <f>'4997'!M9</f>
        <v>2.3048056679469117E-2</v>
      </c>
      <c r="D26" s="2">
        <f>'4997'!$G$1</f>
        <v>4997</v>
      </c>
      <c r="H26" s="9"/>
      <c r="I26" s="9"/>
      <c r="J26" s="9"/>
      <c r="K26" s="9"/>
      <c r="L26" s="9"/>
      <c r="M26" s="9"/>
      <c r="N26" s="9"/>
      <c r="O26" s="9"/>
      <c r="P26" s="9"/>
    </row>
    <row r="27" spans="1:16" x14ac:dyDescent="0.25">
      <c r="A27" s="2">
        <f>'4997'!A10</f>
        <v>0.72</v>
      </c>
      <c r="B27" s="3">
        <f>'4997'!L10</f>
        <v>-1.2181843941432493</v>
      </c>
      <c r="C27" s="2">
        <f>'4997'!M10</f>
        <v>1.9182854627632685E-2</v>
      </c>
      <c r="D27" s="2">
        <f>'4997'!$G$1</f>
        <v>4997</v>
      </c>
      <c r="H27" s="9"/>
      <c r="I27" s="9"/>
      <c r="J27" s="9"/>
      <c r="K27" s="9"/>
      <c r="L27" s="9"/>
      <c r="M27" s="9"/>
      <c r="N27" s="9"/>
      <c r="O27" s="9"/>
      <c r="P27" s="9"/>
    </row>
    <row r="28" spans="1:16" x14ac:dyDescent="0.25">
      <c r="A28" s="2">
        <f>'4997'!A11</f>
        <v>0.75</v>
      </c>
      <c r="B28" s="3">
        <f>'4997'!L11</f>
        <v>-1.5758489982376338</v>
      </c>
      <c r="C28" s="2">
        <f>'4997'!M11</f>
        <v>1.4888185681147749E-2</v>
      </c>
      <c r="D28" s="2">
        <f>'4997'!$G$1</f>
        <v>4997</v>
      </c>
      <c r="H28" s="9"/>
      <c r="I28" s="12"/>
      <c r="J28" s="12"/>
      <c r="K28" s="9"/>
      <c r="L28" s="10"/>
      <c r="M28" s="10"/>
      <c r="N28" s="12"/>
      <c r="O28" s="9"/>
      <c r="P28" s="9"/>
    </row>
    <row r="29" spans="1:16" x14ac:dyDescent="0.25">
      <c r="A29" s="2">
        <f>'4997'!A12</f>
        <v>0.78300000000000003</v>
      </c>
      <c r="B29" s="3">
        <f>'4997'!L12</f>
        <v>-1.961843471963256</v>
      </c>
      <c r="C29" s="2">
        <f>'4997'!M12</f>
        <v>1.0450361103113325E-2</v>
      </c>
      <c r="D29" s="2">
        <f>'4997'!$G$1</f>
        <v>4997</v>
      </c>
      <c r="H29" s="9"/>
      <c r="I29" s="9"/>
      <c r="J29" s="9"/>
      <c r="K29" s="9"/>
      <c r="L29" s="9"/>
      <c r="M29" s="9"/>
      <c r="N29" s="9"/>
      <c r="O29" s="9"/>
      <c r="P29" s="9"/>
    </row>
    <row r="30" spans="1:16" x14ac:dyDescent="0.25">
      <c r="A30" s="2">
        <f>'5018'!A2</f>
        <v>0.115</v>
      </c>
      <c r="B30" s="3">
        <f>'5018'!L2</f>
        <v>3.7353292494667816</v>
      </c>
      <c r="C30" s="2">
        <f>'5018'!M2</f>
        <v>6.8716021207052946E-2</v>
      </c>
      <c r="D30" s="2">
        <f>'5018'!$G$1</f>
        <v>5018</v>
      </c>
      <c r="H30" s="9"/>
      <c r="I30" s="9"/>
      <c r="J30" s="9"/>
      <c r="K30" s="9"/>
      <c r="L30" s="9"/>
      <c r="M30" s="9"/>
      <c r="N30" s="9"/>
      <c r="O30" s="9"/>
      <c r="P30" s="9"/>
    </row>
    <row r="31" spans="1:16" x14ac:dyDescent="0.25">
      <c r="A31" s="2">
        <f>'5018'!A3</f>
        <v>0.14299999999999999</v>
      </c>
      <c r="B31" s="3">
        <f>'5018'!L3</f>
        <v>3.5853447098132389</v>
      </c>
      <c r="C31" s="2">
        <f>'5018'!M3</f>
        <v>6.8138575650691161E-2</v>
      </c>
      <c r="D31" s="2">
        <f>'5018'!$G$1</f>
        <v>5018</v>
      </c>
    </row>
    <row r="32" spans="1:16" x14ac:dyDescent="0.25">
      <c r="A32" s="2">
        <f>'5018'!A4</f>
        <v>0.17299999999999999</v>
      </c>
      <c r="B32" s="3">
        <f>'5018'!L4</f>
        <v>3.4139338073520484</v>
      </c>
      <c r="C32" s="2">
        <f>'5018'!M4</f>
        <v>6.7128045927058025E-2</v>
      </c>
      <c r="D32" s="2">
        <f>'5018'!$G$1</f>
        <v>5018</v>
      </c>
    </row>
    <row r="33" spans="1:4" x14ac:dyDescent="0.25">
      <c r="A33" s="2">
        <f>'5018'!A5</f>
        <v>0.19900000000000001</v>
      </c>
      <c r="B33" s="3">
        <f>'5018'!L5</f>
        <v>3.2639492676985067</v>
      </c>
      <c r="C33" s="2">
        <f>'5018'!M5</f>
        <v>6.6261877592515353E-2</v>
      </c>
      <c r="D33" s="2">
        <f>'5018'!$G$1</f>
        <v>5018</v>
      </c>
    </row>
    <row r="34" spans="1:4" x14ac:dyDescent="0.25">
      <c r="A34" s="2">
        <f>'5018'!A6</f>
        <v>0.23100000000000001</v>
      </c>
      <c r="B34" s="3">
        <f>'5018'!L6</f>
        <v>3.0853962443014331</v>
      </c>
      <c r="C34" s="2">
        <f>'5018'!M6</f>
        <v>6.5251347868882204E-2</v>
      </c>
      <c r="D34" s="2">
        <f>'5018'!$G$1</f>
        <v>5018</v>
      </c>
    </row>
    <row r="35" spans="1:4" x14ac:dyDescent="0.25">
      <c r="A35" s="2">
        <f>'5018'!A7</f>
        <v>0.26300000000000001</v>
      </c>
      <c r="B35" s="3">
        <f>'5018'!L7</f>
        <v>2.8854168580967103</v>
      </c>
      <c r="C35" s="2">
        <f>'5018'!M7</f>
        <v>6.3807733977977732E-2</v>
      </c>
      <c r="D35" s="2">
        <f>'5018'!$G$1</f>
        <v>5018</v>
      </c>
    </row>
    <row r="36" spans="1:4" x14ac:dyDescent="0.25">
      <c r="A36" s="2">
        <f>'5018'!A8</f>
        <v>0.28999999999999998</v>
      </c>
      <c r="B36" s="3">
        <f>'5018'!L8</f>
        <v>2.7140059556355203</v>
      </c>
      <c r="C36" s="2">
        <f>'5018'!M8</f>
        <v>6.250848147616371E-2</v>
      </c>
      <c r="D36" s="2">
        <f>'5018'!$G$1</f>
        <v>5018</v>
      </c>
    </row>
    <row r="37" spans="1:4" x14ac:dyDescent="0.25">
      <c r="A37" s="2">
        <f>'5018'!A9</f>
        <v>0.31900000000000001</v>
      </c>
      <c r="B37" s="3">
        <f>'5018'!L9</f>
        <v>2.5390239927063876</v>
      </c>
      <c r="C37" s="2">
        <f>'5018'!M9</f>
        <v>6.1497951752530575E-2</v>
      </c>
      <c r="D37" s="2">
        <f>'5018'!$G$1</f>
        <v>5018</v>
      </c>
    </row>
    <row r="38" spans="1:4" x14ac:dyDescent="0.25">
      <c r="A38" s="2">
        <f>'5018'!A10</f>
        <v>0.35</v>
      </c>
      <c r="B38" s="3">
        <f>'5018'!L10</f>
        <v>2.317618243694016</v>
      </c>
      <c r="C38" s="2">
        <f>'5018'!M10</f>
        <v>5.9621253694354767E-2</v>
      </c>
      <c r="D38" s="2">
        <f>'5018'!$G$1</f>
        <v>5018</v>
      </c>
    </row>
    <row r="39" spans="1:4" x14ac:dyDescent="0.25">
      <c r="A39" s="2">
        <f>'5018'!A11</f>
        <v>0.377</v>
      </c>
      <c r="B39" s="3">
        <f>'5018'!L11</f>
        <v>2.1247809784251763</v>
      </c>
      <c r="C39" s="2">
        <f>'5018'!M11</f>
        <v>5.7888917025269389E-2</v>
      </c>
      <c r="D39" s="2">
        <f>'5018'!$G$1</f>
        <v>5018</v>
      </c>
    </row>
    <row r="40" spans="1:4" x14ac:dyDescent="0.25">
      <c r="A40" s="2">
        <f>'5018'!A12</f>
        <v>0.40799999999999997</v>
      </c>
      <c r="B40" s="3">
        <f>'5018'!L12</f>
        <v>1.8783778061372149</v>
      </c>
      <c r="C40" s="2">
        <f>'5018'!M12</f>
        <v>5.5290412021641346E-2</v>
      </c>
      <c r="D40" s="2">
        <f>'5018'!$G$1</f>
        <v>5018</v>
      </c>
    </row>
    <row r="41" spans="1:4" x14ac:dyDescent="0.25">
      <c r="A41" s="2">
        <f>'5018'!A13</f>
        <v>0.432</v>
      </c>
      <c r="B41" s="3">
        <f>'5018'!L13</f>
        <v>1.6926826618042583</v>
      </c>
      <c r="C41" s="2">
        <f>'5018'!M13</f>
        <v>5.3413713963465524E-2</v>
      </c>
      <c r="D41" s="2">
        <f>'5018'!$G$1</f>
        <v>5018</v>
      </c>
    </row>
    <row r="42" spans="1:4" x14ac:dyDescent="0.25">
      <c r="A42" s="2">
        <f>'5018'!A14</f>
        <v>0.46100000000000002</v>
      </c>
      <c r="B42" s="3">
        <f>'5018'!L14</f>
        <v>1.449850549984238</v>
      </c>
      <c r="C42" s="2">
        <f>'5018'!M14</f>
        <v>5.0670847570747017E-2</v>
      </c>
      <c r="D42" s="2">
        <f>'5018'!$G$1</f>
        <v>5018</v>
      </c>
    </row>
    <row r="43" spans="1:4" x14ac:dyDescent="0.25">
      <c r="A43" s="2">
        <f>'5018'!A15</f>
        <v>0.48699999999999999</v>
      </c>
      <c r="B43" s="3">
        <f>'5018'!L15</f>
        <v>1.2213026800359839</v>
      </c>
      <c r="C43" s="2">
        <f>'5018'!M15</f>
        <v>4.8216703956209417E-2</v>
      </c>
      <c r="D43" s="2">
        <f>'5018'!$G$1</f>
        <v>5018</v>
      </c>
    </row>
    <row r="44" spans="1:4" x14ac:dyDescent="0.25">
      <c r="A44" s="2">
        <f>'5018'!A16</f>
        <v>0.52</v>
      </c>
      <c r="B44" s="3">
        <f>'5018'!L16</f>
        <v>0.92133360072890025</v>
      </c>
      <c r="C44" s="2">
        <f>'5018'!M16</f>
        <v>4.5040753396219567E-2</v>
      </c>
      <c r="D44" s="2">
        <f>'5018'!$G$1</f>
        <v>5018</v>
      </c>
    </row>
    <row r="45" spans="1:4" x14ac:dyDescent="0.25">
      <c r="A45" s="2">
        <f>'5018'!A17</f>
        <v>0.54800000000000004</v>
      </c>
      <c r="B45" s="3">
        <f>'5018'!L17</f>
        <v>0.64993300516534824</v>
      </c>
      <c r="C45" s="2">
        <f>'5018'!M17</f>
        <v>4.2009164225320181E-2</v>
      </c>
      <c r="D45" s="2">
        <f>'5018'!$G$1</f>
        <v>5018</v>
      </c>
    </row>
    <row r="46" spans="1:4" x14ac:dyDescent="0.25">
      <c r="A46" s="2">
        <f>'5018'!A18</f>
        <v>0.57599999999999996</v>
      </c>
      <c r="B46" s="3">
        <f>'5018'!L18</f>
        <v>0.35710604679414737</v>
      </c>
      <c r="C46" s="2">
        <f>'5018'!M18</f>
        <v>3.8688852276239902E-2</v>
      </c>
      <c r="D46" s="2">
        <f>'5018'!$G$1</f>
        <v>5018</v>
      </c>
    </row>
    <row r="47" spans="1:4" x14ac:dyDescent="0.25">
      <c r="A47" s="2">
        <f>'6020'!A2</f>
        <v>0.40799999999999997</v>
      </c>
      <c r="B47" s="3">
        <f>'6020'!L2</f>
        <v>2.8421958692691778</v>
      </c>
      <c r="C47" s="2">
        <f>'6020'!M2</f>
        <v>8.248466741817137E-2</v>
      </c>
      <c r="D47" s="2">
        <f>'6020'!$G$1</f>
        <v>6020</v>
      </c>
    </row>
    <row r="48" spans="1:4" x14ac:dyDescent="0.25">
      <c r="A48" s="2">
        <f>'6020'!A3</f>
        <v>0.433</v>
      </c>
      <c r="B48" s="3">
        <f>'6020'!L3</f>
        <v>2.5697973501529643</v>
      </c>
      <c r="C48" s="2">
        <f>'6020'!M3</f>
        <v>7.9575888214507895E-2</v>
      </c>
      <c r="D48" s="2">
        <f>'6020'!$G$1</f>
        <v>6020</v>
      </c>
    </row>
    <row r="49" spans="1:4" x14ac:dyDescent="0.25">
      <c r="A49" s="2">
        <f>'6020'!A4</f>
        <v>0.45800000000000002</v>
      </c>
      <c r="B49" s="3">
        <f>'6020'!L4</f>
        <v>2.2511424787339962</v>
      </c>
      <c r="C49" s="2">
        <f>'6020'!M4</f>
        <v>7.6043799181487973E-2</v>
      </c>
      <c r="D49" s="2">
        <f>'6020'!$G$1</f>
        <v>6020</v>
      </c>
    </row>
    <row r="50" spans="1:4" x14ac:dyDescent="0.25">
      <c r="A50" s="2">
        <f>'6020'!A5</f>
        <v>0.48</v>
      </c>
      <c r="B50" s="3">
        <f>'6020'!L5</f>
        <v>1.9787439596177816</v>
      </c>
      <c r="C50" s="2">
        <f>'6020'!M5</f>
        <v>7.2927250034705682E-2</v>
      </c>
      <c r="D50" s="2">
        <f>'6020'!$G$1</f>
        <v>6020</v>
      </c>
    </row>
    <row r="51" spans="1:4" x14ac:dyDescent="0.25">
      <c r="A51" s="2">
        <f>'6020'!A6</f>
        <v>0.50800000000000001</v>
      </c>
      <c r="B51" s="3">
        <f>'6020'!L6</f>
        <v>1.6138327358960611</v>
      </c>
      <c r="C51" s="2">
        <f>'6020'!M6</f>
        <v>6.8771851172329285E-2</v>
      </c>
      <c r="D51" s="2">
        <f>'6020'!$G$1</f>
        <v>6020</v>
      </c>
    </row>
    <row r="52" spans="1:4" x14ac:dyDescent="0.25">
      <c r="A52" s="2">
        <f>'6020'!A7</f>
        <v>0.52900000000000003</v>
      </c>
      <c r="B52" s="3">
        <f>'6020'!L7</f>
        <v>1.3260154326789295</v>
      </c>
      <c r="C52" s="2">
        <f>'6020'!M7</f>
        <v>6.5447532082428192E-2</v>
      </c>
      <c r="D52" s="2">
        <f>'6020'!$G$1</f>
        <v>6020</v>
      </c>
    </row>
    <row r="53" spans="1:4" x14ac:dyDescent="0.25">
      <c r="A53" s="2">
        <f>'6020'!A8</f>
        <v>0.55200000000000005</v>
      </c>
      <c r="B53" s="3">
        <f>'6020'!L8</f>
        <v>1.0022209665596558</v>
      </c>
      <c r="C53" s="2">
        <f>'6020'!M8</f>
        <v>6.1707673106289419E-2</v>
      </c>
      <c r="D53" s="2">
        <f>'6020'!$G$1</f>
        <v>6020</v>
      </c>
    </row>
    <row r="54" spans="1:4" x14ac:dyDescent="0.25">
      <c r="A54" s="2">
        <f>'6020'!A9</f>
        <v>0.57499999999999996</v>
      </c>
      <c r="B54" s="3">
        <f>'6020'!L9</f>
        <v>0.65786812163915875</v>
      </c>
      <c r="C54" s="2">
        <f>'6020'!M9</f>
        <v>5.7967814130150674E-2</v>
      </c>
      <c r="D54" s="2">
        <f>'6020'!$G$1</f>
        <v>6020</v>
      </c>
    </row>
    <row r="55" spans="1:4" x14ac:dyDescent="0.25">
      <c r="A55" s="2">
        <f>'6020'!A10</f>
        <v>0.60199999999999998</v>
      </c>
      <c r="B55" s="3">
        <f>'6020'!L10</f>
        <v>0.23642135621407268</v>
      </c>
      <c r="C55" s="2">
        <f>'6020'!M10</f>
        <v>5.2773565552180178E-2</v>
      </c>
      <c r="D55" s="2">
        <f>'6020'!$G$1</f>
        <v>6020</v>
      </c>
    </row>
    <row r="56" spans="1:4" x14ac:dyDescent="0.25">
      <c r="A56" s="2">
        <f>'6020'!A11</f>
        <v>0.623</v>
      </c>
      <c r="B56" s="3">
        <f>'6020'!L11</f>
        <v>-9.7652299305812609E-2</v>
      </c>
      <c r="C56" s="2">
        <f>'6020'!M11</f>
        <v>4.8618166689803774E-2</v>
      </c>
      <c r="D56" s="2">
        <f>'6020'!$G$1</f>
        <v>6020</v>
      </c>
    </row>
    <row r="57" spans="1:4" x14ac:dyDescent="0.25">
      <c r="A57" s="2">
        <f>'6020'!A12</f>
        <v>0.65200000000000002</v>
      </c>
      <c r="B57" s="3">
        <f>'6020'!L12</f>
        <v>-0.565355417033652</v>
      </c>
      <c r="C57" s="2">
        <f>'6020'!M12</f>
        <v>4.300837822559566E-2</v>
      </c>
      <c r="D57" s="2">
        <f>'6020'!$G$1</f>
        <v>6020</v>
      </c>
    </row>
    <row r="58" spans="1:4" x14ac:dyDescent="0.25">
      <c r="A58" s="2">
        <f>'6020'!A13</f>
        <v>0.67200000000000004</v>
      </c>
      <c r="B58" s="3">
        <f>'6020'!L13</f>
        <v>-0.87887069375231353</v>
      </c>
      <c r="C58" s="2">
        <f>'6020'!M13</f>
        <v>3.9268519249456915E-2</v>
      </c>
      <c r="D58" s="2">
        <f>'6020'!$G$1</f>
        <v>6020</v>
      </c>
    </row>
    <row r="59" spans="1:4" x14ac:dyDescent="0.25">
      <c r="A59" s="2">
        <f>'6020'!A14</f>
        <v>0.70099999999999996</v>
      </c>
      <c r="B59" s="3">
        <f>'6020'!L14</f>
        <v>-1.3619925955810706</v>
      </c>
      <c r="C59" s="2">
        <f>'6020'!M14</f>
        <v>3.3243190899011135E-2</v>
      </c>
      <c r="D59" s="2">
        <f>'6020'!$G$1</f>
        <v>6020</v>
      </c>
    </row>
    <row r="60" spans="1:4" x14ac:dyDescent="0.25">
      <c r="A60" s="2">
        <f>'6020'!A15</f>
        <v>0.72</v>
      </c>
      <c r="B60" s="3">
        <f>'6020'!L15</f>
        <v>-1.6703682775994266</v>
      </c>
      <c r="C60" s="2">
        <f>'6020'!M15</f>
        <v>2.9295561979753568E-2</v>
      </c>
      <c r="D60" s="2">
        <f>'6020'!$G$1</f>
        <v>6020</v>
      </c>
    </row>
    <row r="61" spans="1:4" x14ac:dyDescent="0.25">
      <c r="A61" s="2">
        <f>'6020'!A16</f>
        <v>0.749</v>
      </c>
      <c r="B61" s="3">
        <f>'6020'!L16</f>
        <v>-2.1637693688287958</v>
      </c>
      <c r="C61" s="2">
        <f>'6020'!M16</f>
        <v>2.3270233629307791E-2</v>
      </c>
      <c r="D61" s="2">
        <f>'6020'!$G$1</f>
        <v>6020</v>
      </c>
    </row>
    <row r="62" spans="1:4" x14ac:dyDescent="0.25">
      <c r="A62" s="2">
        <f>'6020'!A17</f>
        <v>0.77500000000000002</v>
      </c>
      <c r="B62" s="3">
        <f>'6020'!L17</f>
        <v>-2.631472486556635</v>
      </c>
      <c r="C62" s="2">
        <f>'6020'!M17</f>
        <v>1.7660445165099667E-2</v>
      </c>
      <c r="D62" s="2">
        <f>'6020'!$G$1</f>
        <v>6020</v>
      </c>
    </row>
    <row r="63" spans="1:4" x14ac:dyDescent="0.25">
      <c r="A63" s="2">
        <f>'6023'!A2</f>
        <v>9.5000000000000001E-2</v>
      </c>
      <c r="B63" s="3">
        <f>'6023'!L2</f>
        <v>5.864979085800365</v>
      </c>
      <c r="C63" s="2">
        <f>'6023'!M2</f>
        <v>0.10627628501547348</v>
      </c>
      <c r="D63" s="2">
        <f>'6023'!$G$1</f>
        <v>6023</v>
      </c>
    </row>
    <row r="64" spans="1:4" x14ac:dyDescent="0.25">
      <c r="A64" s="2">
        <f>'6023'!A3</f>
        <v>0.121</v>
      </c>
      <c r="B64" s="3">
        <f>'6023'!L3</f>
        <v>5.6591903459477209</v>
      </c>
      <c r="C64" s="2">
        <f>'6023'!M3</f>
        <v>0.10544437671789639</v>
      </c>
      <c r="D64" s="2">
        <f>'6023'!$G$1</f>
        <v>6023</v>
      </c>
    </row>
    <row r="65" spans="1:4" x14ac:dyDescent="0.25">
      <c r="A65" s="2">
        <f>'6023'!A4</f>
        <v>0.14599999999999999</v>
      </c>
      <c r="B65" s="3">
        <f>'6023'!L4</f>
        <v>5.4122438581245467</v>
      </c>
      <c r="C65" s="2">
        <f>'6023'!M4</f>
        <v>0.10357258304834795</v>
      </c>
      <c r="D65" s="2">
        <f>'6023'!$G$1</f>
        <v>6023</v>
      </c>
    </row>
    <row r="66" spans="1:4" x14ac:dyDescent="0.25">
      <c r="A66" s="2">
        <f>'6023'!A5</f>
        <v>0.16900000000000001</v>
      </c>
      <c r="B66" s="3">
        <f>'6023'!L5</f>
        <v>5.2013103997755863</v>
      </c>
      <c r="C66" s="2">
        <f>'6023'!M5</f>
        <v>0.10211674352758802</v>
      </c>
      <c r="D66" s="2">
        <f>'6023'!$G$1</f>
        <v>6023</v>
      </c>
    </row>
    <row r="67" spans="1:4" x14ac:dyDescent="0.25">
      <c r="A67" s="2">
        <f>'6023'!A6</f>
        <v>0.192</v>
      </c>
      <c r="B67" s="3">
        <f>'6023'!L6</f>
        <v>4.9852322229303097</v>
      </c>
      <c r="C67" s="2">
        <f>'6023'!M6</f>
        <v>0.10066090400682812</v>
      </c>
      <c r="D67" s="2">
        <f>'6023'!$G$1</f>
        <v>6023</v>
      </c>
    </row>
    <row r="68" spans="1:4" x14ac:dyDescent="0.25">
      <c r="A68" s="2">
        <f>'6023'!A7</f>
        <v>0.217</v>
      </c>
      <c r="B68" s="3">
        <f>'6023'!L7</f>
        <v>4.7434304536034526</v>
      </c>
      <c r="C68" s="2">
        <f>'6023'!M7</f>
        <v>9.8789110337279662E-2</v>
      </c>
      <c r="D68" s="2">
        <f>'6023'!$G$1</f>
        <v>6023</v>
      </c>
    </row>
    <row r="69" spans="1:4" x14ac:dyDescent="0.25">
      <c r="A69" s="2">
        <f>'6023'!A8</f>
        <v>0.24</v>
      </c>
      <c r="B69" s="3">
        <f>'6023'!L8</f>
        <v>4.5582205877360726</v>
      </c>
      <c r="C69" s="2">
        <f>'6023'!M8</f>
        <v>9.7541247890914035E-2</v>
      </c>
      <c r="D69" s="2">
        <f>'6023'!$G$1</f>
        <v>6023</v>
      </c>
    </row>
    <row r="70" spans="1:4" x14ac:dyDescent="0.25">
      <c r="A70" s="2">
        <f>'6023'!A9</f>
        <v>0.26700000000000002</v>
      </c>
      <c r="B70" s="3">
        <f>'6023'!L9</f>
        <v>4.2958399444239506</v>
      </c>
      <c r="C70" s="2">
        <f>'6023'!M9</f>
        <v>9.5461477146971313E-2</v>
      </c>
      <c r="D70" s="2">
        <f>'6023'!$G$1</f>
        <v>6023</v>
      </c>
    </row>
    <row r="71" spans="1:4" x14ac:dyDescent="0.25">
      <c r="A71" s="2">
        <f>'6023'!A10</f>
        <v>0.28999999999999998</v>
      </c>
      <c r="B71" s="3">
        <f>'6023'!L10</f>
        <v>4.0900512045713064</v>
      </c>
      <c r="C71" s="2">
        <f>'6023'!M10</f>
        <v>9.4005637626211364E-2</v>
      </c>
      <c r="D71" s="2">
        <f>'6023'!$G$1</f>
        <v>6023</v>
      </c>
    </row>
    <row r="72" spans="1:4" x14ac:dyDescent="0.25">
      <c r="A72" s="2">
        <f>'6023'!A11</f>
        <v>0.316</v>
      </c>
      <c r="B72" s="3">
        <f>'6023'!L11</f>
        <v>3.8585388722370815</v>
      </c>
      <c r="C72" s="2">
        <f>'6023'!M11</f>
        <v>9.2341821031057203E-2</v>
      </c>
      <c r="D72" s="2">
        <f>'6023'!$G$1</f>
        <v>6023</v>
      </c>
    </row>
    <row r="73" spans="1:4" x14ac:dyDescent="0.25">
      <c r="A73" s="2">
        <f>'6023'!A12</f>
        <v>0.33400000000000002</v>
      </c>
      <c r="B73" s="3">
        <f>'6023'!L12</f>
        <v>3.6733290063697024</v>
      </c>
      <c r="C73" s="2">
        <f>'6023'!M12</f>
        <v>9.1093958584691548E-2</v>
      </c>
      <c r="D73" s="2">
        <f>'6023'!$G$1</f>
        <v>6023</v>
      </c>
    </row>
    <row r="74" spans="1:4" x14ac:dyDescent="0.25">
      <c r="A74" s="2">
        <f>'6023'!A13</f>
        <v>0.35799999999999998</v>
      </c>
      <c r="B74" s="3">
        <f>'6023'!L13</f>
        <v>3.4212378000502124</v>
      </c>
      <c r="C74" s="2">
        <f>'6023'!M13</f>
        <v>8.8806210766354574E-2</v>
      </c>
      <c r="D74" s="2">
        <f>'6023'!$G$1</f>
        <v>6023</v>
      </c>
    </row>
    <row r="75" spans="1:4" x14ac:dyDescent="0.25">
      <c r="A75" s="2">
        <f>'6023'!A14</f>
        <v>0.38100000000000001</v>
      </c>
      <c r="B75" s="3">
        <f>'6023'!L14</f>
        <v>3.1794360307233558</v>
      </c>
      <c r="C75" s="2">
        <f>'6023'!M14</f>
        <v>8.651846294801753E-2</v>
      </c>
      <c r="D75" s="2">
        <f>'6023'!$G$1</f>
        <v>6023</v>
      </c>
    </row>
    <row r="76" spans="1:4" x14ac:dyDescent="0.25">
      <c r="A76" s="2">
        <f>'6023'!A15</f>
        <v>0.40799999999999997</v>
      </c>
      <c r="B76" s="3">
        <f>'6023'!L15</f>
        <v>2.8707529209443887</v>
      </c>
      <c r="C76" s="2">
        <f>'6023'!M15</f>
        <v>8.2982852683314914E-2</v>
      </c>
      <c r="D76" s="2">
        <f>'6023'!$G$1</f>
        <v>6023</v>
      </c>
    </row>
    <row r="77" spans="1:4" x14ac:dyDescent="0.25">
      <c r="A77" s="2">
        <f>'6023'!A16</f>
        <v>0.43099999999999999</v>
      </c>
      <c r="B77" s="3">
        <f>'6023'!L16</f>
        <v>2.598082840639635</v>
      </c>
      <c r="C77" s="2">
        <f>'6023'!M16</f>
        <v>8.0071173641795099E-2</v>
      </c>
      <c r="D77" s="2">
        <f>'6023'!$G$1</f>
        <v>6023</v>
      </c>
    </row>
    <row r="78" spans="1:4" x14ac:dyDescent="0.25">
      <c r="A78" s="2">
        <f>'6023'!A17</f>
        <v>0.45400000000000001</v>
      </c>
      <c r="B78" s="3">
        <f>'6023'!L17</f>
        <v>2.3254127603348813</v>
      </c>
      <c r="C78" s="2">
        <f>'6023'!M17</f>
        <v>7.6951517525881002E-2</v>
      </c>
      <c r="D78" s="2">
        <f>'6023'!$G$1</f>
        <v>6023</v>
      </c>
    </row>
    <row r="79" spans="1:4" x14ac:dyDescent="0.25">
      <c r="A79" s="2">
        <f>'6023'!A18</f>
        <v>0.47699999999999998</v>
      </c>
      <c r="B79" s="3">
        <f>'6023'!L18</f>
        <v>2.032163806044863</v>
      </c>
      <c r="C79" s="2">
        <f>'6023'!M18</f>
        <v>7.3623884335572626E-2</v>
      </c>
      <c r="D79" s="2">
        <f>'6023'!$G$1</f>
        <v>6023</v>
      </c>
    </row>
    <row r="80" spans="1:4" x14ac:dyDescent="0.25">
      <c r="A80" s="2">
        <f>'6512'!A2</f>
        <v>8.8999999999999996E-2</v>
      </c>
      <c r="B80" s="3">
        <f>'6512'!L2</f>
        <v>7.0424142713504958</v>
      </c>
      <c r="C80" s="2">
        <f>'6512'!M2</f>
        <v>0.12715112615478613</v>
      </c>
      <c r="D80" s="2">
        <f>'6512'!$G$1</f>
        <v>6512</v>
      </c>
    </row>
    <row r="81" spans="1:4" x14ac:dyDescent="0.25">
      <c r="A81" s="2">
        <f>'6512'!A3</f>
        <v>0.112</v>
      </c>
      <c r="B81" s="3">
        <f>'6512'!L3</f>
        <v>6.8499657173938644</v>
      </c>
      <c r="C81" s="2">
        <f>'6512'!M3</f>
        <v>0.12690800736672725</v>
      </c>
      <c r="D81" s="2">
        <f>'6512'!$G$1</f>
        <v>6512</v>
      </c>
    </row>
    <row r="82" spans="1:4" x14ac:dyDescent="0.25">
      <c r="A82" s="2">
        <f>'6512'!A4</f>
        <v>0.13400000000000001</v>
      </c>
      <c r="B82" s="3">
        <f>'6512'!L4</f>
        <v>6.5793349383923525</v>
      </c>
      <c r="C82" s="2">
        <f>'6512'!M4</f>
        <v>0.12447681948613863</v>
      </c>
      <c r="D82" s="2">
        <f>'6512'!$G$1</f>
        <v>6512</v>
      </c>
    </row>
    <row r="83" spans="1:4" x14ac:dyDescent="0.25">
      <c r="A83" s="2">
        <f>'6512'!A5</f>
        <v>0.156</v>
      </c>
      <c r="B83" s="3">
        <f>'6512'!L5</f>
        <v>6.3989144190580074</v>
      </c>
      <c r="C83" s="2">
        <f>'6512'!M5</f>
        <v>0.12423370069807979</v>
      </c>
      <c r="D83" s="2">
        <f>'6512'!$G$1</f>
        <v>6512</v>
      </c>
    </row>
    <row r="84" spans="1:4" x14ac:dyDescent="0.25">
      <c r="A84" s="2">
        <f>'6512'!A6</f>
        <v>0.17599999999999999</v>
      </c>
      <c r="B84" s="3">
        <f>'6512'!L6</f>
        <v>6.1342976573676404</v>
      </c>
      <c r="C84" s="2">
        <f>'6512'!M6</f>
        <v>0.12155939402943228</v>
      </c>
      <c r="D84" s="2">
        <f>'6512'!$G$1</f>
        <v>6512</v>
      </c>
    </row>
    <row r="85" spans="1:4" x14ac:dyDescent="0.25">
      <c r="A85" s="2">
        <f>'6512'!A7</f>
        <v>0.19900000000000001</v>
      </c>
      <c r="B85" s="3">
        <f>'6512'!L7</f>
        <v>5.8817089302995607</v>
      </c>
      <c r="C85" s="2">
        <f>'6512'!M7</f>
        <v>0.11985756251302018</v>
      </c>
      <c r="D85" s="2">
        <f>'6512'!$G$1</f>
        <v>6512</v>
      </c>
    </row>
    <row r="86" spans="1:4" x14ac:dyDescent="0.25">
      <c r="A86" s="2">
        <f>'6512'!A8</f>
        <v>0.22500000000000001</v>
      </c>
      <c r="B86" s="3">
        <f>'6512'!L8</f>
        <v>5.5930360993646113</v>
      </c>
      <c r="C86" s="2">
        <f>'6512'!M8</f>
        <v>0.11742637463243157</v>
      </c>
      <c r="D86" s="2">
        <f>'6512'!$G$1</f>
        <v>6512</v>
      </c>
    </row>
    <row r="87" spans="1:4" x14ac:dyDescent="0.25">
      <c r="A87" s="2">
        <f>'6512'!A9</f>
        <v>0.246</v>
      </c>
      <c r="B87" s="3">
        <f>'6512'!L9</f>
        <v>5.3404473722965333</v>
      </c>
      <c r="C87" s="2">
        <f>'6512'!M9</f>
        <v>0.11548142432796063</v>
      </c>
      <c r="D87" s="2">
        <f>'6512'!$G$1</f>
        <v>6512</v>
      </c>
    </row>
    <row r="88" spans="1:4" x14ac:dyDescent="0.25">
      <c r="A88" s="2">
        <f>'6512'!A10</f>
        <v>0.26600000000000001</v>
      </c>
      <c r="B88" s="3">
        <f>'6512'!L10</f>
        <v>5.0938726625395994</v>
      </c>
      <c r="C88" s="2">
        <f>'6512'!M10</f>
        <v>0.113050236447372</v>
      </c>
      <c r="D88" s="2">
        <f>'6512'!$G$1</f>
        <v>6512</v>
      </c>
    </row>
    <row r="89" spans="1:4" x14ac:dyDescent="0.25">
      <c r="A89" s="2">
        <f>'6512'!A11</f>
        <v>0.28699999999999998</v>
      </c>
      <c r="B89" s="3">
        <f>'6512'!L11</f>
        <v>4.8893960739606772</v>
      </c>
      <c r="C89" s="2">
        <f>'6512'!M11</f>
        <v>0.11183464250707766</v>
      </c>
      <c r="D89" s="2">
        <f>'6512'!$G$1</f>
        <v>6512</v>
      </c>
    </row>
    <row r="90" spans="1:4" x14ac:dyDescent="0.25">
      <c r="A90" s="2">
        <f>'6512'!A12</f>
        <v>0.309</v>
      </c>
      <c r="B90" s="3">
        <f>'6512'!L12</f>
        <v>4.672891450759467</v>
      </c>
      <c r="C90" s="2">
        <f>'6512'!M12</f>
        <v>0.11037592977872449</v>
      </c>
      <c r="D90" s="2">
        <f>'6512'!$G$1</f>
        <v>6512</v>
      </c>
    </row>
    <row r="91" spans="1:4" x14ac:dyDescent="0.25">
      <c r="A91" s="2">
        <f>'6512'!A13</f>
        <v>0.33200000000000002</v>
      </c>
      <c r="B91" s="3">
        <f>'6512'!L13</f>
        <v>4.3842186198245185</v>
      </c>
      <c r="C91" s="2">
        <f>'6512'!M13</f>
        <v>0.10794474189813585</v>
      </c>
      <c r="D91" s="2">
        <f>'6512'!$G$1</f>
        <v>6512</v>
      </c>
    </row>
    <row r="92" spans="1:4" x14ac:dyDescent="0.25">
      <c r="A92" s="2">
        <f>'6512'!A14</f>
        <v>0.35799999999999998</v>
      </c>
      <c r="B92" s="3">
        <f>'6512'!L14</f>
        <v>4.089531771578427</v>
      </c>
      <c r="C92" s="2">
        <f>'6512'!M14</f>
        <v>0.1055135540175472</v>
      </c>
      <c r="D92" s="2">
        <f>'6512'!$G$1</f>
        <v>6512</v>
      </c>
    </row>
    <row r="93" spans="1:4" x14ac:dyDescent="0.25">
      <c r="A93" s="2">
        <f>'6512'!A15</f>
        <v>0.379</v>
      </c>
      <c r="B93" s="3">
        <f>'6512'!L15</f>
        <v>3.8369430445103467</v>
      </c>
      <c r="C93" s="2">
        <f>'6512'!M15</f>
        <v>0.10308236613695858</v>
      </c>
      <c r="D93" s="2">
        <f>'6512'!$G$1</f>
        <v>6512</v>
      </c>
    </row>
    <row r="94" spans="1:4" x14ac:dyDescent="0.25">
      <c r="A94" s="2">
        <f>'6512'!A16</f>
        <v>0.39600000000000002</v>
      </c>
      <c r="B94" s="3">
        <f>'6512'!L16</f>
        <v>3.6084103866868471</v>
      </c>
      <c r="C94" s="2">
        <f>'6512'!M16</f>
        <v>0.10065117825636993</v>
      </c>
      <c r="D94" s="2">
        <f>'6512'!$G$1</f>
        <v>6512</v>
      </c>
    </row>
    <row r="95" spans="1:4" x14ac:dyDescent="0.25">
      <c r="A95" s="2">
        <f>'6512'!A17</f>
        <v>0.42099999999999999</v>
      </c>
      <c r="B95" s="3">
        <f>'6512'!L17</f>
        <v>3.2595973826404512</v>
      </c>
      <c r="C95" s="2">
        <f>'6512'!M17</f>
        <v>9.6761277647428076E-2</v>
      </c>
      <c r="D95" s="2">
        <f>'6512'!$G$1</f>
        <v>6512</v>
      </c>
    </row>
    <row r="96" spans="1:4" x14ac:dyDescent="0.25">
      <c r="A96" s="2">
        <f>'6512'!A18</f>
        <v>0.44500000000000001</v>
      </c>
      <c r="B96" s="3">
        <f>'6512'!L18</f>
        <v>2.9107843785940561</v>
      </c>
      <c r="C96" s="2">
        <f>'6512'!M18</f>
        <v>9.2628258250427364E-2</v>
      </c>
      <c r="D96" s="2">
        <f>'6512'!$G$1</f>
        <v>6512</v>
      </c>
    </row>
    <row r="97" spans="1:4" x14ac:dyDescent="0.25">
      <c r="A97" s="2">
        <f>'6513'!A2</f>
        <v>0.378</v>
      </c>
      <c r="B97" s="3">
        <f>'6513'!L2</f>
        <v>3.802026370242876</v>
      </c>
      <c r="C97" s="2">
        <f>'6513'!M2</f>
        <v>0.10262764084770434</v>
      </c>
      <c r="D97" s="2">
        <f>'6513'!$G$1</f>
        <v>6513</v>
      </c>
    </row>
    <row r="98" spans="1:4" x14ac:dyDescent="0.25">
      <c r="A98" s="2">
        <f>'6513'!A3</f>
        <v>0.4</v>
      </c>
      <c r="B98" s="3">
        <f>'6513'!L3</f>
        <v>3.5132648737687324</v>
      </c>
      <c r="C98" s="2">
        <f>'6513'!M3</f>
        <v>9.946612584528694E-2</v>
      </c>
      <c r="D98" s="2">
        <f>'6513'!$G$1</f>
        <v>6513</v>
      </c>
    </row>
    <row r="99" spans="1:4" x14ac:dyDescent="0.25">
      <c r="A99" s="2">
        <f>'6513'!A4</f>
        <v>0.42099999999999999</v>
      </c>
      <c r="B99" s="3">
        <f>'6513'!L4</f>
        <v>3.2605985643538578</v>
      </c>
      <c r="C99" s="2">
        <f>'6513'!M4</f>
        <v>9.6790997766318332E-2</v>
      </c>
      <c r="D99" s="2">
        <f>'6513'!$G$1</f>
        <v>6513</v>
      </c>
    </row>
    <row r="100" spans="1:4" x14ac:dyDescent="0.25">
      <c r="A100" s="2">
        <f>'6513'!A5</f>
        <v>0.441</v>
      </c>
      <c r="B100" s="3">
        <f>'6513'!L5</f>
        <v>2.9598053388599599</v>
      </c>
      <c r="C100" s="2">
        <f>'6513'!M5</f>
        <v>9.3143095840452036E-2</v>
      </c>
      <c r="D100" s="2">
        <f>'6513'!$G$1</f>
        <v>6513</v>
      </c>
    </row>
    <row r="101" spans="1:4" x14ac:dyDescent="0.25">
      <c r="A101" s="2">
        <f>'6513'!A6</f>
        <v>0.46600000000000003</v>
      </c>
      <c r="B101" s="3">
        <f>'6513'!L6</f>
        <v>2.6108851972870384</v>
      </c>
      <c r="C101" s="2">
        <f>'6513'!M6</f>
        <v>8.9252000452861385E-2</v>
      </c>
      <c r="D101" s="2">
        <f>'6513'!$G$1</f>
        <v>6513</v>
      </c>
    </row>
    <row r="102" spans="1:4" x14ac:dyDescent="0.25">
      <c r="A102" s="2">
        <f>'6513'!A7</f>
        <v>0.48699999999999999</v>
      </c>
      <c r="B102" s="3">
        <f>'6513'!L7</f>
        <v>2.2920443782635056</v>
      </c>
      <c r="C102" s="2">
        <f>'6513'!M7</f>
        <v>8.5360905065270679E-2</v>
      </c>
      <c r="D102" s="2">
        <f>'6513'!$G$1</f>
        <v>6513</v>
      </c>
    </row>
    <row r="103" spans="1:4" x14ac:dyDescent="0.25">
      <c r="A103" s="2">
        <f>'6513'!A8</f>
        <v>0.50700000000000001</v>
      </c>
      <c r="B103" s="3">
        <f>'6513'!L8</f>
        <v>1.9732035592399737</v>
      </c>
      <c r="C103" s="2">
        <f>'6513'!M8</f>
        <v>8.1713003139404425E-2</v>
      </c>
      <c r="D103" s="2">
        <f>'6513'!$G$1</f>
        <v>6513</v>
      </c>
    </row>
    <row r="104" spans="1:4" x14ac:dyDescent="0.25">
      <c r="A104" s="2">
        <f>'6513'!A9</f>
        <v>0.53200000000000003</v>
      </c>
      <c r="B104" s="3">
        <f>'6513'!L9</f>
        <v>1.5761565015880274</v>
      </c>
      <c r="C104" s="2">
        <f>'6513'!M9</f>
        <v>7.7335520828364909E-2</v>
      </c>
      <c r="D104" s="2">
        <f>'6513'!$G$1</f>
        <v>6513</v>
      </c>
    </row>
    <row r="105" spans="1:4" x14ac:dyDescent="0.25">
      <c r="A105" s="2">
        <f>'6513'!A10</f>
        <v>0.55200000000000005</v>
      </c>
      <c r="B105" s="3">
        <f>'6513'!L10</f>
        <v>1.2272363600151055</v>
      </c>
      <c r="C105" s="2">
        <f>'6513'!M10</f>
        <v>7.3444425440774216E-2</v>
      </c>
      <c r="D105" s="2">
        <f>'6513'!$G$1</f>
        <v>6513</v>
      </c>
    </row>
    <row r="106" spans="1:4" x14ac:dyDescent="0.25">
      <c r="A106" s="2">
        <f>'6513'!A11</f>
        <v>0.57999999999999996</v>
      </c>
      <c r="B106" s="3">
        <f>'6513'!L11</f>
        <v>0.72791960569523406</v>
      </c>
      <c r="C106" s="2">
        <f>'6513'!M11</f>
        <v>6.7364588897663766E-2</v>
      </c>
      <c r="D106" s="2">
        <f>'6513'!$G$1</f>
        <v>6513</v>
      </c>
    </row>
    <row r="107" spans="1:4" x14ac:dyDescent="0.25">
      <c r="A107" s="2">
        <f>'6513'!A12</f>
        <v>0.6</v>
      </c>
      <c r="B107" s="3">
        <f>'6513'!L12</f>
        <v>0.37899946412231195</v>
      </c>
      <c r="C107" s="2">
        <f>'6513'!M12</f>
        <v>6.3230300048348662E-2</v>
      </c>
      <c r="D107" s="2">
        <f>'6513'!$G$1</f>
        <v>6513</v>
      </c>
    </row>
    <row r="108" spans="1:4" x14ac:dyDescent="0.25">
      <c r="A108" s="2">
        <f>'6513'!A13</f>
        <v>0.61899999999999999</v>
      </c>
      <c r="B108" s="3">
        <f>'6513'!L13</f>
        <v>1.2031729019755934E-2</v>
      </c>
      <c r="C108" s="2">
        <f>'6513'!M13</f>
        <v>5.8852817737309132E-2</v>
      </c>
      <c r="D108" s="2">
        <f>'6513'!$G$1</f>
        <v>6513</v>
      </c>
    </row>
    <row r="109" spans="1:4" x14ac:dyDescent="0.25">
      <c r="A109" s="2">
        <f>'6513'!A14</f>
        <v>0.64600000000000002</v>
      </c>
      <c r="B109" s="3">
        <f>'6513'!L14</f>
        <v>-0.49330088980999343</v>
      </c>
      <c r="C109" s="2">
        <f>'6513'!M14</f>
        <v>5.2772981194198702E-2</v>
      </c>
      <c r="D109" s="2">
        <f>'6513'!$G$1</f>
        <v>6513</v>
      </c>
    </row>
    <row r="110" spans="1:4" x14ac:dyDescent="0.25">
      <c r="A110" s="2">
        <f>'6513'!A15</f>
        <v>0.66600000000000004</v>
      </c>
      <c r="B110" s="3">
        <f>'6513'!L15</f>
        <v>-0.86026862491254918</v>
      </c>
      <c r="C110" s="2">
        <f>'6513'!M15</f>
        <v>4.7909111959710322E-2</v>
      </c>
      <c r="D110" s="2">
        <f>'6513'!$G$1</f>
        <v>6513</v>
      </c>
    </row>
    <row r="111" spans="1:4" x14ac:dyDescent="0.25">
      <c r="A111" s="2">
        <f>'6513'!A16</f>
        <v>0.69199999999999995</v>
      </c>
      <c r="B111" s="3">
        <f>'6513'!L16</f>
        <v>-1.3716171082521766</v>
      </c>
      <c r="C111" s="2">
        <f>'6513'!M16</f>
        <v>4.1829275416599865E-2</v>
      </c>
      <c r="D111" s="2">
        <f>'6513'!$G$1</f>
        <v>6513</v>
      </c>
    </row>
    <row r="112" spans="1:4" x14ac:dyDescent="0.25">
      <c r="A112" s="2">
        <f>'6513'!A17</f>
        <v>0.70899999999999996</v>
      </c>
      <c r="B112" s="3">
        <f>'6513'!L17</f>
        <v>-1.6964737917855865</v>
      </c>
      <c r="C112" s="2">
        <f>'6513'!M17</f>
        <v>3.7694986567284781E-2</v>
      </c>
      <c r="D112" s="2">
        <f>'6513'!$G$1</f>
        <v>6513</v>
      </c>
    </row>
    <row r="113" spans="1:4" x14ac:dyDescent="0.25">
      <c r="A113" s="2">
        <f>'6513'!A18</f>
        <v>0.73599999999999999</v>
      </c>
      <c r="B113" s="3">
        <f>'6513'!L18</f>
        <v>-2.2318857331647259</v>
      </c>
      <c r="C113" s="2">
        <f>'6513'!M18</f>
        <v>3.1128763100725484E-2</v>
      </c>
      <c r="D113" s="2">
        <f>'6513'!$G$1</f>
        <v>6513</v>
      </c>
    </row>
    <row r="114" spans="1:4" x14ac:dyDescent="0.25">
      <c r="A114" s="2">
        <f>'6513'!A19</f>
        <v>0.75600000000000001</v>
      </c>
      <c r="B114" s="3">
        <f>'6513'!L19</f>
        <v>-2.6469803843463056</v>
      </c>
      <c r="C114" s="2">
        <f>'6513'!M19</f>
        <v>2.5778506942788302E-2</v>
      </c>
      <c r="D114" s="2">
        <f>'6513'!$G$1</f>
        <v>6513</v>
      </c>
    </row>
    <row r="115" spans="1:4" x14ac:dyDescent="0.25">
      <c r="B115" s="3"/>
    </row>
    <row r="116" spans="1:4" x14ac:dyDescent="0.25">
      <c r="B116" s="3"/>
    </row>
    <row r="117" spans="1:4" x14ac:dyDescent="0.25">
      <c r="B117" s="3"/>
    </row>
    <row r="118" spans="1:4" x14ac:dyDescent="0.25">
      <c r="B118" s="3"/>
    </row>
    <row r="119" spans="1:4" x14ac:dyDescent="0.25">
      <c r="B119" s="3"/>
    </row>
    <row r="120" spans="1:4" x14ac:dyDescent="0.25">
      <c r="B120" s="3"/>
    </row>
    <row r="121" spans="1:4" x14ac:dyDescent="0.25">
      <c r="B121" s="3"/>
    </row>
    <row r="122" spans="1:4" x14ac:dyDescent="0.25">
      <c r="B122" s="3"/>
    </row>
    <row r="123" spans="1:4" x14ac:dyDescent="0.25">
      <c r="B123" s="3"/>
    </row>
    <row r="124" spans="1:4" x14ac:dyDescent="0.25">
      <c r="B124" s="3"/>
    </row>
    <row r="125" spans="1:4" x14ac:dyDescent="0.25">
      <c r="B125" s="3"/>
    </row>
    <row r="126" spans="1:4" x14ac:dyDescent="0.25">
      <c r="B126" s="3"/>
    </row>
    <row r="127" spans="1:4" x14ac:dyDescent="0.25">
      <c r="B127" s="3"/>
    </row>
    <row r="128" spans="1:4" x14ac:dyDescent="0.25">
      <c r="B128" s="3"/>
    </row>
    <row r="129" spans="2:2" x14ac:dyDescent="0.25">
      <c r="B129" s="3"/>
    </row>
    <row r="130" spans="2:2" x14ac:dyDescent="0.25">
      <c r="B130" s="3"/>
    </row>
    <row r="131" spans="2:2" x14ac:dyDescent="0.25">
      <c r="B131" s="3"/>
    </row>
    <row r="132" spans="2:2" x14ac:dyDescent="0.25">
      <c r="B132" s="3"/>
    </row>
    <row r="133" spans="2:2" x14ac:dyDescent="0.25">
      <c r="B133" s="3"/>
    </row>
    <row r="134" spans="2:2" x14ac:dyDescent="0.25">
      <c r="B134" s="3"/>
    </row>
    <row r="135" spans="2:2" x14ac:dyDescent="0.25">
      <c r="B135" s="3"/>
    </row>
    <row r="136" spans="2:2" x14ac:dyDescent="0.25">
      <c r="B136" s="3"/>
    </row>
    <row r="137" spans="2:2" x14ac:dyDescent="0.25">
      <c r="B137" s="3"/>
    </row>
    <row r="138" spans="2:2" x14ac:dyDescent="0.25">
      <c r="B138" s="3"/>
    </row>
    <row r="139" spans="2:2" x14ac:dyDescent="0.25">
      <c r="B139" s="3"/>
    </row>
    <row r="140" spans="2:2" x14ac:dyDescent="0.25">
      <c r="B140" s="3"/>
    </row>
    <row r="141" spans="2:2" x14ac:dyDescent="0.25">
      <c r="B141" s="3"/>
    </row>
    <row r="142" spans="2:2" x14ac:dyDescent="0.25">
      <c r="B142" s="3"/>
    </row>
    <row r="143" spans="2:2" x14ac:dyDescent="0.25">
      <c r="B143" s="3"/>
    </row>
    <row r="144" spans="2:2" x14ac:dyDescent="0.25">
      <c r="B144" s="3"/>
    </row>
    <row r="145" spans="2:2" x14ac:dyDescent="0.25">
      <c r="B145" s="3"/>
    </row>
    <row r="146" spans="2:2" x14ac:dyDescent="0.25">
      <c r="B146" s="3"/>
    </row>
    <row r="147" spans="2:2" x14ac:dyDescent="0.25">
      <c r="B147" s="3"/>
    </row>
    <row r="148" spans="2:2" x14ac:dyDescent="0.25">
      <c r="B148" s="3"/>
    </row>
    <row r="149" spans="2:2" x14ac:dyDescent="0.25">
      <c r="B149" s="3"/>
    </row>
    <row r="150" spans="2:2" x14ac:dyDescent="0.25">
      <c r="B150" s="3"/>
    </row>
    <row r="151" spans="2:2" x14ac:dyDescent="0.25">
      <c r="B151" s="3"/>
    </row>
    <row r="152" spans="2:2" x14ac:dyDescent="0.25">
      <c r="B152" s="3"/>
    </row>
    <row r="153" spans="2:2" x14ac:dyDescent="0.25">
      <c r="B153" s="3"/>
    </row>
    <row r="154" spans="2:2" x14ac:dyDescent="0.25">
      <c r="B154" s="3"/>
    </row>
    <row r="155" spans="2:2" x14ac:dyDescent="0.25">
      <c r="B155" s="3"/>
    </row>
    <row r="156" spans="2:2" x14ac:dyDescent="0.25">
      <c r="B156" s="3"/>
    </row>
    <row r="157" spans="2:2" x14ac:dyDescent="0.25">
      <c r="B157" s="3"/>
    </row>
    <row r="158" spans="2:2" x14ac:dyDescent="0.25">
      <c r="B158" s="3"/>
    </row>
    <row r="159" spans="2:2" x14ac:dyDescent="0.25">
      <c r="B159" s="3"/>
    </row>
    <row r="160" spans="2:2" x14ac:dyDescent="0.25">
      <c r="B160" s="3"/>
    </row>
    <row r="161" spans="2:2" x14ac:dyDescent="0.25">
      <c r="B161" s="3"/>
    </row>
    <row r="162" spans="2:2" x14ac:dyDescent="0.25">
      <c r="B162" s="3"/>
    </row>
    <row r="163" spans="2:2" x14ac:dyDescent="0.25">
      <c r="B163" s="3"/>
    </row>
    <row r="164" spans="2:2" x14ac:dyDescent="0.25">
      <c r="B164" s="3"/>
    </row>
    <row r="165" spans="2:2" x14ac:dyDescent="0.25">
      <c r="B165" s="3"/>
    </row>
    <row r="166" spans="2:2" x14ac:dyDescent="0.25">
      <c r="B166" s="3"/>
    </row>
    <row r="167" spans="2:2" x14ac:dyDescent="0.25">
      <c r="B167" s="3"/>
    </row>
    <row r="168" spans="2:2" x14ac:dyDescent="0.25">
      <c r="B168" s="3"/>
    </row>
    <row r="169" spans="2:2" x14ac:dyDescent="0.25">
      <c r="B169" s="3"/>
    </row>
    <row r="170" spans="2:2" x14ac:dyDescent="0.25">
      <c r="B170" s="3"/>
    </row>
    <row r="171" spans="2:2" x14ac:dyDescent="0.25">
      <c r="B171" s="3"/>
    </row>
    <row r="172" spans="2:2" x14ac:dyDescent="0.25">
      <c r="B172" s="3"/>
    </row>
    <row r="173" spans="2:2" x14ac:dyDescent="0.25">
      <c r="B173" s="3"/>
    </row>
    <row r="174" spans="2:2" x14ac:dyDescent="0.25">
      <c r="B174" s="3"/>
    </row>
    <row r="175" spans="2:2" x14ac:dyDescent="0.25">
      <c r="B175" s="3"/>
    </row>
    <row r="176" spans="2:2" x14ac:dyDescent="0.25">
      <c r="B176" s="3"/>
    </row>
    <row r="177" spans="2:2" x14ac:dyDescent="0.25">
      <c r="B177" s="3"/>
    </row>
    <row r="178" spans="2:2" x14ac:dyDescent="0.25">
      <c r="B178" s="3"/>
    </row>
    <row r="179" spans="2:2" x14ac:dyDescent="0.25">
      <c r="B179" s="3"/>
    </row>
    <row r="180" spans="2:2" x14ac:dyDescent="0.25">
      <c r="B180" s="3"/>
    </row>
    <row r="181" spans="2:2" x14ac:dyDescent="0.25">
      <c r="B181" s="3"/>
    </row>
    <row r="182" spans="2:2" x14ac:dyDescent="0.25">
      <c r="B182" s="3"/>
    </row>
    <row r="183" spans="2:2" x14ac:dyDescent="0.25">
      <c r="B183" s="3"/>
    </row>
    <row r="184" spans="2:2" x14ac:dyDescent="0.25">
      <c r="B184" s="3"/>
    </row>
    <row r="185" spans="2:2" x14ac:dyDescent="0.25">
      <c r="B185" s="3"/>
    </row>
    <row r="186" spans="2:2" x14ac:dyDescent="0.25">
      <c r="B186" s="3"/>
    </row>
    <row r="187" spans="2:2" x14ac:dyDescent="0.25">
      <c r="B187" s="3"/>
    </row>
    <row r="188" spans="2:2" x14ac:dyDescent="0.25">
      <c r="B188" s="3"/>
    </row>
    <row r="189" spans="2:2" x14ac:dyDescent="0.25">
      <c r="B189" s="3"/>
    </row>
    <row r="190" spans="2:2" x14ac:dyDescent="0.25">
      <c r="B190" s="3"/>
    </row>
    <row r="191" spans="2:2" x14ac:dyDescent="0.25">
      <c r="B191" s="3"/>
    </row>
    <row r="192" spans="2:2" x14ac:dyDescent="0.25">
      <c r="B192" s="3"/>
    </row>
    <row r="193" spans="2:2" x14ac:dyDescent="0.25">
      <c r="B193" s="3"/>
    </row>
    <row r="194" spans="2:2" x14ac:dyDescent="0.25">
      <c r="B194" s="3"/>
    </row>
    <row r="195" spans="2:2" x14ac:dyDescent="0.25">
      <c r="B195" s="3"/>
    </row>
    <row r="196" spans="2:2" x14ac:dyDescent="0.25">
      <c r="B196" s="3"/>
    </row>
    <row r="197" spans="2:2" x14ac:dyDescent="0.25">
      <c r="B197" s="3"/>
    </row>
    <row r="198" spans="2:2" x14ac:dyDescent="0.25">
      <c r="B198" s="3"/>
    </row>
    <row r="199" spans="2:2" x14ac:dyDescent="0.25">
      <c r="B199" s="3"/>
    </row>
    <row r="200" spans="2:2" x14ac:dyDescent="0.25">
      <c r="B200" s="3"/>
    </row>
    <row r="201" spans="2:2" x14ac:dyDescent="0.25">
      <c r="B201" s="3"/>
    </row>
    <row r="202" spans="2:2" x14ac:dyDescent="0.25">
      <c r="B202" s="3"/>
    </row>
    <row r="203" spans="2:2" x14ac:dyDescent="0.25">
      <c r="B203" s="3"/>
    </row>
    <row r="204" spans="2:2" x14ac:dyDescent="0.25">
      <c r="B204" s="3"/>
    </row>
    <row r="205" spans="2:2" x14ac:dyDescent="0.25">
      <c r="B205" s="3"/>
    </row>
    <row r="206" spans="2:2" x14ac:dyDescent="0.25">
      <c r="B206" s="3"/>
    </row>
    <row r="207" spans="2:2" x14ac:dyDescent="0.25">
      <c r="B207" s="3"/>
    </row>
    <row r="208" spans="2:2" x14ac:dyDescent="0.25">
      <c r="B208" s="3"/>
    </row>
    <row r="209" spans="2:2" x14ac:dyDescent="0.25">
      <c r="B209" s="3"/>
    </row>
    <row r="210" spans="2:2" x14ac:dyDescent="0.25">
      <c r="B210" s="3"/>
    </row>
    <row r="211" spans="2:2" x14ac:dyDescent="0.25">
      <c r="B211" s="3"/>
    </row>
    <row r="212" spans="2:2" x14ac:dyDescent="0.25">
      <c r="B212" s="3"/>
    </row>
    <row r="213" spans="2:2" x14ac:dyDescent="0.25">
      <c r="B213" s="3"/>
    </row>
    <row r="214" spans="2:2" x14ac:dyDescent="0.25">
      <c r="B214" s="3"/>
    </row>
    <row r="215" spans="2:2" x14ac:dyDescent="0.25">
      <c r="B215" s="3"/>
    </row>
    <row r="216" spans="2:2" x14ac:dyDescent="0.25">
      <c r="B216" s="3"/>
    </row>
    <row r="217" spans="2:2" x14ac:dyDescent="0.25">
      <c r="B217" s="3"/>
    </row>
    <row r="218" spans="2:2" x14ac:dyDescent="0.25">
      <c r="B218" s="3"/>
    </row>
    <row r="219" spans="2:2" x14ac:dyDescent="0.25">
      <c r="B219" s="3"/>
    </row>
    <row r="220" spans="2:2" x14ac:dyDescent="0.25">
      <c r="B220" s="3"/>
    </row>
    <row r="221" spans="2:2" x14ac:dyDescent="0.25">
      <c r="B221" s="3"/>
    </row>
    <row r="222" spans="2:2" x14ac:dyDescent="0.25">
      <c r="B222" s="3"/>
    </row>
    <row r="223" spans="2:2" x14ac:dyDescent="0.25">
      <c r="B223" s="3"/>
    </row>
    <row r="224" spans="2:2" x14ac:dyDescent="0.25">
      <c r="B224" s="3"/>
    </row>
    <row r="225" spans="2:2" x14ac:dyDescent="0.25">
      <c r="B225" s="3"/>
    </row>
    <row r="226" spans="2:2" x14ac:dyDescent="0.25">
      <c r="B226" s="3"/>
    </row>
    <row r="227" spans="2:2" x14ac:dyDescent="0.25">
      <c r="B227" s="3"/>
    </row>
    <row r="228" spans="2:2" x14ac:dyDescent="0.25">
      <c r="B228" s="3"/>
    </row>
    <row r="229" spans="2:2" x14ac:dyDescent="0.25">
      <c r="B229" s="3"/>
    </row>
    <row r="230" spans="2:2" x14ac:dyDescent="0.25">
      <c r="B230" s="3"/>
    </row>
    <row r="231" spans="2:2" x14ac:dyDescent="0.25">
      <c r="B231" s="3"/>
    </row>
    <row r="232" spans="2:2" x14ac:dyDescent="0.25">
      <c r="B232" s="3"/>
    </row>
    <row r="233" spans="2:2" x14ac:dyDescent="0.25">
      <c r="B233" s="3"/>
    </row>
    <row r="234" spans="2:2" x14ac:dyDescent="0.25">
      <c r="B234" s="3"/>
    </row>
    <row r="235" spans="2:2" x14ac:dyDescent="0.25">
      <c r="B235" s="3"/>
    </row>
    <row r="236" spans="2:2" x14ac:dyDescent="0.25">
      <c r="B236" s="3"/>
    </row>
    <row r="237" spans="2:2" x14ac:dyDescent="0.25">
      <c r="B237" s="3"/>
    </row>
    <row r="238" spans="2:2" x14ac:dyDescent="0.25">
      <c r="B238" s="3"/>
    </row>
    <row r="239" spans="2:2" x14ac:dyDescent="0.25">
      <c r="B239" s="3"/>
    </row>
    <row r="240" spans="2:2" x14ac:dyDescent="0.25">
      <c r="B240" s="3"/>
    </row>
    <row r="241" spans="2:2" x14ac:dyDescent="0.25">
      <c r="B241" s="3"/>
    </row>
    <row r="242" spans="2:2" x14ac:dyDescent="0.25">
      <c r="B242" s="3"/>
    </row>
    <row r="243" spans="2:2" x14ac:dyDescent="0.25">
      <c r="B243" s="3"/>
    </row>
    <row r="244" spans="2:2" x14ac:dyDescent="0.25">
      <c r="B244" s="3"/>
    </row>
    <row r="245" spans="2:2" x14ac:dyDescent="0.25">
      <c r="B245" s="3"/>
    </row>
    <row r="246" spans="2:2" x14ac:dyDescent="0.25">
      <c r="B246" s="3"/>
    </row>
    <row r="247" spans="2:2" x14ac:dyDescent="0.25">
      <c r="B247" s="3"/>
    </row>
    <row r="248" spans="2:2" x14ac:dyDescent="0.25">
      <c r="B248" s="3"/>
    </row>
  </sheetData>
  <pageMargins left="0.7" right="0.7" top="0.75" bottom="0.75" header="0.3" footer="0.3"/>
  <pageSetup paperSize="9" orientation="portrait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8</vt:i4>
      </vt:variant>
    </vt:vector>
  </HeadingPairs>
  <TitlesOfParts>
    <vt:vector size="19" baseType="lpstr">
      <vt:lpstr>General</vt:lpstr>
      <vt:lpstr>Static</vt:lpstr>
      <vt:lpstr>4014</vt:lpstr>
      <vt:lpstr>4997</vt:lpstr>
      <vt:lpstr>5018</vt:lpstr>
      <vt:lpstr>6020</vt:lpstr>
      <vt:lpstr>6023</vt:lpstr>
      <vt:lpstr>6512</vt:lpstr>
      <vt:lpstr>6513</vt:lpstr>
      <vt:lpstr>Interp</vt:lpstr>
      <vt:lpstr>Interp (2)</vt:lpstr>
      <vt:lpstr>'4014'!apcsf_10x4.7_kt0836_4014</vt:lpstr>
      <vt:lpstr>'5018'!apcsf_10x4.7_kt0837_5018</vt:lpstr>
      <vt:lpstr>'4997'!apcsf_10x4.7_rd0838_4997</vt:lpstr>
      <vt:lpstr>'6023'!apcsf_10x4.7_rd0839_6023</vt:lpstr>
      <vt:lpstr>'6020'!apcsf_10x4.7_rd0840_6020</vt:lpstr>
      <vt:lpstr>'6512'!apcsf_10x4.7_rd0841_6512</vt:lpstr>
      <vt:lpstr>'6513'!apcsf_10x4.7_rd0842_6513</vt:lpstr>
      <vt:lpstr>Static!apcsf_10x4.7_static_kt0835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Dario Mangoni</dc:creator>
  <cp:lastModifiedBy>Dario Mangoni</cp:lastModifiedBy>
  <dcterms:created xsi:type="dcterms:W3CDTF">2013-06-16T09:19:06Z</dcterms:created>
  <dcterms:modified xsi:type="dcterms:W3CDTF">2013-08-07T19:39:32Z</dcterms:modified>
</cp:coreProperties>
</file>